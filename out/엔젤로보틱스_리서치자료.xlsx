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회사개요·연혁" sheetId="2" state="visible" r:id="rId2"/>
    <sheet xmlns:r="http://schemas.openxmlformats.org/officeDocument/2006/relationships" name="02_주주·경영진" sheetId="3" state="visible" r:id="rId3"/>
    <sheet xmlns:r="http://schemas.openxmlformats.org/officeDocument/2006/relationships" name="03_손익계산서" sheetId="4" state="visible" r:id="rId4"/>
    <sheet xmlns:r="http://schemas.openxmlformats.org/officeDocument/2006/relationships" name="04_재무상태표" sheetId="5" state="visible" r:id="rId5"/>
    <sheet xmlns:r="http://schemas.openxmlformats.org/officeDocument/2006/relationships" name="05_재무비율" sheetId="6" state="visible" r:id="rId6"/>
    <sheet xmlns:r="http://schemas.openxmlformats.org/officeDocument/2006/relationships" name="06_제품별매출" sheetId="7" state="visible" r:id="rId7"/>
    <sheet xmlns:r="http://schemas.openxmlformats.org/officeDocument/2006/relationships" name="07_추정치대비실적" sheetId="8" state="visible" r:id="rId8"/>
    <sheet xmlns:r="http://schemas.openxmlformats.org/officeDocument/2006/relationships" name="08_R&amp;D·국가과제" sheetId="9" state="visible" r:id="rId9"/>
    <sheet xmlns:r="http://schemas.openxmlformats.org/officeDocument/2006/relationships" name="09_인허가·수상" sheetId="10" state="visible" r:id="rId10"/>
    <sheet xmlns:r="http://schemas.openxmlformats.org/officeDocument/2006/relationships" name="10_시장·산업" sheetId="11" state="visible" r:id="rId11"/>
    <sheet xmlns:r="http://schemas.openxmlformats.org/officeDocument/2006/relationships" name="11_주가·밸류에이션" sheetId="12" state="visible" r:id="rId12"/>
    <sheet xmlns:r="http://schemas.openxmlformats.org/officeDocument/2006/relationships" name="12_관리종목·시뮬레이션" sheetId="13" state="visible" r:id="rId13"/>
    <sheet xmlns:r="http://schemas.openxmlformats.org/officeDocument/2006/relationships" name="13_출처목록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#,##0;(#,##0)"/>
  </numFmts>
  <fonts count="21">
    <font>
      <name val="Calibri"/>
      <family val="2"/>
      <color theme="1"/>
      <sz val="11"/>
      <scheme val="minor"/>
    </font>
    <font>
      <name val="맑은 고딕"/>
      <b val="1"/>
      <color rgb="00002060"/>
      <sz val="20"/>
    </font>
    <font>
      <name val="맑은 고딕"/>
      <color rgb="00404040"/>
      <sz val="12"/>
    </font>
    <font>
      <name val="맑은 고딕"/>
      <i val="1"/>
      <color rgb="00808080"/>
      <sz val="9"/>
    </font>
    <font>
      <name val="맑은 고딕"/>
      <b val="1"/>
      <color rgb="00002060"/>
      <sz val="12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color rgb="000000FF"/>
      <sz val="9"/>
    </font>
    <font>
      <name val="맑은 고딕"/>
      <b val="1"/>
      <sz val="9"/>
    </font>
    <font>
      <name val="맑은 고딕"/>
      <sz val="9"/>
    </font>
    <font>
      <name val="맑은 고딕"/>
      <color rgb="00000000"/>
      <sz val="9"/>
    </font>
    <font>
      <name val="맑은 고딕"/>
      <color rgb="00808080"/>
      <sz val="9"/>
    </font>
    <font>
      <name val="맑은 고딕"/>
      <color rgb="00C00000"/>
      <sz val="9"/>
    </font>
    <font>
      <name val="맑은 고딕"/>
      <b val="1"/>
      <color rgb="00002060"/>
      <sz val="14"/>
    </font>
    <font>
      <name val="맑은 고딕"/>
      <b val="1"/>
      <color rgb="00002060"/>
      <sz val="11"/>
    </font>
    <font>
      <name val="맑은 고딕"/>
      <b val="1"/>
      <color rgb="000000FF"/>
      <sz val="9"/>
    </font>
    <font>
      <name val="맑은 고딕"/>
      <color rgb="00808080"/>
      <sz val="8"/>
    </font>
    <font>
      <name val="맑은 고딕"/>
      <b val="1"/>
      <color rgb="00808080"/>
      <sz val="10"/>
    </font>
    <font>
      <name val="맑은 고딕"/>
      <color rgb="00C00000"/>
      <sz val="8"/>
    </font>
    <font>
      <name val="맑은 고딕"/>
      <color rgb="000563C1"/>
      <sz val="8"/>
      <u val="single"/>
    </font>
    <font>
      <name val="맑은 고딕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00723F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bottom style="medium">
        <color rgb="00F5822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0" borderId="5" pivotButton="0" quotePrefix="0" xfId="0"/>
    <xf numFmtId="0" fontId="7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9" fillId="0" borderId="2" pivotButton="0" quotePrefix="0" xfId="0"/>
    <xf numFmtId="164" fontId="7" fillId="0" borderId="2" pivotButton="0" quotePrefix="0" xfId="0"/>
    <xf numFmtId="165" fontId="7" fillId="0" borderId="2" pivotButton="0" quotePrefix="0" xfId="0"/>
    <xf numFmtId="0" fontId="8" fillId="3" borderId="2" pivotButton="0" quotePrefix="0" xfId="0"/>
    <xf numFmtId="164" fontId="8" fillId="3" borderId="2" pivotButton="0" quotePrefix="0" xfId="0"/>
    <xf numFmtId="165" fontId="8" fillId="3" borderId="2" pivotButton="0" quotePrefix="0" xfId="0"/>
    <xf numFmtId="0" fontId="10" fillId="0" borderId="2" pivotButton="0" quotePrefix="0" xfId="0"/>
    <xf numFmtId="0" fontId="6" fillId="3" borderId="2" pivotButton="0" quotePrefix="0" xfId="0"/>
    <xf numFmtId="164" fontId="15" fillId="3" borderId="2" pivotButton="0" quotePrefix="0" xfId="0"/>
    <xf numFmtId="165" fontId="15" fillId="3" borderId="2" pivotButton="0" quotePrefix="0" xfId="0"/>
    <xf numFmtId="0" fontId="16" fillId="0" borderId="0" pivotButton="0" quotePrefix="0" xfId="0"/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/>
    </xf>
    <xf numFmtId="164" fontId="7" fillId="0" borderId="2" applyAlignment="1" pivotButton="0" quotePrefix="0" xfId="0">
      <alignment horizontal="right"/>
    </xf>
    <xf numFmtId="164" fontId="15" fillId="3" borderId="2" applyAlignment="1" pivotButton="0" quotePrefix="0" xfId="0">
      <alignment horizontal="right"/>
    </xf>
    <xf numFmtId="164" fontId="6" fillId="3" borderId="2" applyAlignment="1" pivotButton="0" quotePrefix="0" xfId="0">
      <alignment horizontal="right"/>
    </xf>
    <xf numFmtId="165" fontId="10" fillId="0" borderId="2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  <xf numFmtId="164" fontId="10" fillId="0" borderId="2" applyAlignment="1" pivotButton="0" quotePrefix="0" xfId="0">
      <alignment horizontal="center"/>
    </xf>
    <xf numFmtId="166" fontId="7" fillId="0" borderId="2" applyAlignment="1" pivotButton="0" quotePrefix="0" xfId="0">
      <alignment horizontal="right"/>
    </xf>
    <xf numFmtId="0" fontId="9" fillId="0" borderId="2" applyAlignment="1" pivotButton="0" quotePrefix="0" xfId="0">
      <alignment horizontal="center" vertical="center"/>
    </xf>
    <xf numFmtId="165" fontId="9" fillId="0" borderId="2" pivotButton="0" quotePrefix="0" xfId="0"/>
    <xf numFmtId="0" fontId="8" fillId="3" borderId="2" applyAlignment="1" pivotButton="0" quotePrefix="0" xfId="0">
      <alignment horizontal="left" vertical="center" wrapText="1"/>
    </xf>
    <xf numFmtId="165" fontId="6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left" vertical="center"/>
    </xf>
    <xf numFmtId="165" fontId="7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horizontal="right" vertical="center"/>
    </xf>
    <xf numFmtId="165" fontId="10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center" vertical="center" wrapText="1"/>
    </xf>
    <xf numFmtId="164" fontId="10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right" vertical="center" wrapText="1"/>
    </xf>
    <xf numFmtId="164" fontId="6" fillId="3" borderId="2" applyAlignment="1" pivotButton="0" quotePrefix="0" xfId="0">
      <alignment horizontal="right" vertical="center" wrapText="1"/>
    </xf>
    <xf numFmtId="165" fontId="10" fillId="0" borderId="2" applyAlignment="1" pivotButton="0" quotePrefix="0" xfId="0">
      <alignment horizontal="right" vertical="center" wrapText="1"/>
    </xf>
    <xf numFmtId="165" fontId="7" fillId="0" borderId="2" applyAlignment="1" pivotButton="0" quotePrefix="0" xfId="0">
      <alignment horizontal="right" vertical="center" wrapText="1"/>
    </xf>
    <xf numFmtId="0" fontId="17" fillId="0" borderId="0" pivotButton="0" quotePrefix="0" xfId="0"/>
    <xf numFmtId="0" fontId="16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center" vertical="center" wrapText="1"/>
    </xf>
    <xf numFmtId="0" fontId="18" fillId="0" borderId="0" pivotButton="0" quotePrefix="0" xfId="0"/>
    <xf numFmtId="165" fontId="15" fillId="3" borderId="2" applyAlignment="1" pivotButton="0" quotePrefix="0" xfId="0">
      <alignment horizontal="right" vertical="center" wrapText="1"/>
    </xf>
    <xf numFmtId="164" fontId="10" fillId="0" borderId="2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4" fontId="9" fillId="0" borderId="2" pivotButton="0" quotePrefix="0" xfId="0"/>
    <xf numFmtId="165" fontId="9" fillId="0" borderId="2" applyAlignment="1" pivotButton="0" quotePrefix="0" xfId="0">
      <alignment horizontal="right" vertical="center"/>
    </xf>
    <xf numFmtId="0" fontId="8" fillId="0" borderId="2" pivotButton="0" quotePrefix="0" xfId="0"/>
    <xf numFmtId="164" fontId="7" fillId="6" borderId="2" pivotButton="0" quotePrefix="0" xfId="0"/>
    <xf numFmtId="0" fontId="19" fillId="0" borderId="2" applyAlignment="1" pivotButton="0" quotePrefix="0" xfId="0">
      <alignment horizontal="left" vertical="center"/>
    </xf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://www.bosa.co.kr/news/articleView.html?idxno=2114946" TargetMode="External" Id="rId1"/><Relationship Type="http://schemas.openxmlformats.org/officeDocument/2006/relationships/hyperlink" Target="https://www.kiria.org/portal/policysut/portalPlcyInquiry.do" TargetMode="External" Id="rId2"/><Relationship Type="http://schemas.openxmlformats.org/officeDocument/2006/relationships/hyperlink" Target="https://www.data.go.kr/data/3041731/fileData.do" TargetMode="External" Id="rId3"/><Relationship Type="http://schemas.openxmlformats.org/officeDocument/2006/relationships/hyperlink" Target="https://www.kostat.go.kr/board.es?mid=a10301010000&amp;bid=10820&amp;list_no=438832" TargetMode="External" Id="rId4"/><Relationship Type="http://schemas.openxmlformats.org/officeDocument/2006/relationships/hyperlink" Target="https://kosis.kr/visual/nsportalStats/detailContents.do?listId=A&amp;statJipyoId=3634" TargetMode="External" Id="rId5"/><Relationship Type="http://schemas.openxmlformats.org/officeDocument/2006/relationships/hyperlink" Target="https://opendata.hira.or.kr/op/opc/selectMedInfoSvcList.do" TargetMode="External" Id="rId6"/><Relationship Type="http://schemas.openxmlformats.org/officeDocument/2006/relationships/hyperlink" Target="https://www.nrc.go.kr/research/html/content.do?depth=rp&amp;menu_cd=03_04_00_01" TargetMode="External" Id="rId7"/><Relationship Type="http://schemas.openxmlformats.org/officeDocument/2006/relationships/hyperlink" Target="https://www.fortunebusinessinsights.com/wearable-robotic-exoskeleton-market-104664" TargetMode="External" Id="rId8"/><Relationship Type="http://schemas.openxmlformats.org/officeDocument/2006/relationships/hyperlink" Target="https://www.giikorea.co.kr/report/gmi1858972-rehabilitation-robots-market-opportunity-growth.html" TargetMode="External" Id="rId9"/><Relationship Type="http://schemas.openxmlformats.org/officeDocument/2006/relationships/hyperlink" Target="https://www.mordorintelligence.kr/industry-reports/rehabilitation-robots-market" TargetMode="External" Id="rId10"/><Relationship Type="http://schemas.openxmlformats.org/officeDocument/2006/relationships/hyperlink" Target="http://data.krx.co.kr" TargetMode="External" Id="rId11"/></Relationships>
</file>

<file path=xl/worksheets/sheet1.xml><?xml version="1.0" encoding="utf-8"?>
<worksheet xmlns="http://schemas.openxmlformats.org/spreadsheetml/2006/main">
  <sheetPr>
    <tabColor rgb="00F58220"/>
    <outlinePr summaryBelow="1" summaryRight="1"/>
    <pageSetUpPr/>
  </sheetPr>
  <dimension ref="B1:H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0" customWidth="1" min="4" max="4"/>
    <col width="20" customWidth="1" min="5" max="5"/>
    <col width="18" customWidth="1" min="6" max="6"/>
    <col width="16" customWidth="1" min="7" max="7"/>
    <col width="14" customWidth="1" min="8" max="8"/>
  </cols>
  <sheetData>
    <row r="1"/>
    <row r="2">
      <c r="B2" s="1" t="inlineStr">
        <is>
          <t>엔젤로보틱스㈜ (KOSDAQ 455900)</t>
        </is>
      </c>
    </row>
    <row r="3">
      <c r="B3" s="2" t="inlineStr">
        <is>
          <t>사모 CB·CPS 발행 검토 — 리서치 자료 집계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기준일 2026.08.25 / 재무수치 기준일 2026.06.30 (제10기 반기)</t>
        </is>
      </c>
    </row>
    <row r="6"/>
    <row r="7">
      <c r="B7" s="5" t="inlineStr">
        <is>
          <t>1.  한눈에 보기</t>
        </is>
      </c>
    </row>
    <row r="8">
      <c r="B8" s="6" t="inlineStr">
        <is>
          <t>구분</t>
        </is>
      </c>
      <c r="C8" s="6" t="inlineStr">
        <is>
          <t>내용</t>
        </is>
      </c>
      <c r="D8" s="6" t="inlineStr">
        <is>
          <t>구분</t>
        </is>
      </c>
      <c r="E8" s="6" t="inlineStr">
        <is>
          <t>내용</t>
        </is>
      </c>
    </row>
    <row r="9">
      <c r="B9" s="7" t="inlineStr">
        <is>
          <t>설립 / 상장</t>
        </is>
      </c>
      <c r="C9" s="8" t="inlineStr">
        <is>
          <t>2017.02 / 2024.03.26 (기술특례)</t>
        </is>
      </c>
      <c r="D9" s="7" t="inlineStr">
        <is>
          <t>대표이사</t>
        </is>
      </c>
      <c r="E9" s="8" t="inlineStr">
        <is>
          <t>조남민 (2024.10)</t>
        </is>
      </c>
    </row>
    <row r="10">
      <c r="B10" s="7" t="inlineStr">
        <is>
          <t>발행주식총수</t>
        </is>
      </c>
      <c r="C10" s="8" t="inlineStr">
        <is>
          <t>15,392,981주</t>
        </is>
      </c>
      <c r="D10" s="7" t="inlineStr">
        <is>
          <t>이사회 의장·CTO</t>
        </is>
      </c>
      <c r="E10" s="8" t="inlineStr">
        <is>
          <t>공경철 (창업자)</t>
        </is>
      </c>
    </row>
    <row r="11">
      <c r="B11" s="7" t="inlineStr">
        <is>
          <t>최대주주등</t>
        </is>
      </c>
      <c r="C11" s="8" t="inlineStr">
        <is>
          <t>공경철 외 2인 27.48%</t>
        </is>
      </c>
      <c r="D11" s="7" t="inlineStr">
        <is>
          <t>2대주주</t>
        </is>
      </c>
      <c r="E11" s="8" t="inlineStr">
        <is>
          <t>LG전자 6.24%</t>
        </is>
      </c>
    </row>
    <row r="12">
      <c r="B12" s="7" t="inlineStr">
        <is>
          <t>2025년 매출</t>
        </is>
      </c>
      <c r="C12" s="8" t="inlineStr">
        <is>
          <t>4,641백만원</t>
        </is>
      </c>
      <c r="D12" s="7" t="inlineStr">
        <is>
          <t>2026년 반기 매출</t>
        </is>
      </c>
      <c r="E12" s="8" t="inlineStr">
        <is>
          <t>1,295백만원 (-49.4% YoY)</t>
        </is>
      </c>
    </row>
    <row r="13">
      <c r="B13" s="7" t="inlineStr">
        <is>
          <t>2025년 영업손실</t>
        </is>
      </c>
      <c r="C13" s="8" t="inlineStr">
        <is>
          <t>(10,276)백만원</t>
        </is>
      </c>
      <c r="D13" s="7" t="inlineStr">
        <is>
          <t>2026년 반기 영업손실</t>
        </is>
      </c>
      <c r="E13" s="8" t="inlineStr">
        <is>
          <t>(6,163)백만원</t>
        </is>
      </c>
    </row>
    <row r="14">
      <c r="B14" s="7" t="inlineStr">
        <is>
          <t>자기자본 (26.6말)</t>
        </is>
      </c>
      <c r="C14" s="8" t="inlineStr">
        <is>
          <t>30,982백만원</t>
        </is>
      </c>
      <c r="D14" s="7" t="inlineStr">
        <is>
          <t>즉시 가용 유동성</t>
        </is>
      </c>
      <c r="E14" s="8" t="inlineStr">
        <is>
          <t>25,063백만원</t>
        </is>
      </c>
    </row>
    <row r="15">
      <c r="B15" s="7" t="inlineStr">
        <is>
          <t>차입금</t>
        </is>
      </c>
      <c r="C15" s="8" t="inlineStr">
        <is>
          <t>없음</t>
        </is>
      </c>
      <c r="D15" s="7" t="inlineStr">
        <is>
          <t>미상환 CB·BW</t>
        </is>
      </c>
      <c r="E15" s="8" t="inlineStr">
        <is>
          <t>없음</t>
        </is>
      </c>
    </row>
    <row r="16">
      <c r="B16" s="7" t="inlineStr">
        <is>
          <t>국내 시장점유율</t>
        </is>
      </c>
      <c r="C16" s="8" t="inlineStr">
        <is>
          <t>56% (2023년, 2위 21%)</t>
        </is>
      </c>
      <c r="D16" s="7" t="inlineStr">
        <is>
          <t>해외 인허가</t>
        </is>
      </c>
      <c r="E16" s="8" t="inlineStr">
        <is>
          <t>태국·베트남·말레이시아</t>
        </is>
      </c>
    </row>
    <row r="17"/>
    <row r="18"/>
    <row r="19">
      <c r="B19" s="5" t="inlineStr">
        <is>
          <t>2.  시트 구성</t>
        </is>
      </c>
    </row>
    <row r="20">
      <c r="B20" s="6" t="inlineStr">
        <is>
          <t>시트</t>
        </is>
      </c>
      <c r="C20" s="6" t="inlineStr">
        <is>
          <t>내용</t>
        </is>
      </c>
      <c r="D20" s="6" t="inlineStr">
        <is>
          <t>주요 출처</t>
        </is>
      </c>
      <c r="E20" s="6" t="inlineStr">
        <is>
          <t>비고</t>
        </is>
      </c>
    </row>
    <row r="21">
      <c r="B21" s="9" t="inlineStr">
        <is>
          <t>01_회사개요·연혁</t>
        </is>
      </c>
      <c r="C21" s="10" t="inlineStr">
        <is>
          <t>기업 기본정보, 연혁 28건</t>
        </is>
      </c>
      <c r="D21" s="10" t="inlineStr">
        <is>
          <t>반기보고서</t>
        </is>
      </c>
      <c r="E21" s="10" t="inlineStr"/>
    </row>
    <row r="22">
      <c r="B22" s="9" t="inlineStr">
        <is>
          <t>02_주주·경영진</t>
        </is>
      </c>
      <c r="C22" s="10" t="inlineStr">
        <is>
          <t>주주현황, 임원 8인, 스톡옵션</t>
        </is>
      </c>
      <c r="D22" s="10" t="inlineStr">
        <is>
          <t>반기보고서</t>
        </is>
      </c>
      <c r="E22" s="10" t="inlineStr"/>
    </row>
    <row r="23">
      <c r="B23" s="9" t="inlineStr">
        <is>
          <t>03_손익계산서</t>
        </is>
      </c>
      <c r="C23" s="10" t="inlineStr">
        <is>
          <t>2020~2026 반기 손익 추이</t>
        </is>
      </c>
      <c r="D23" s="10" t="inlineStr">
        <is>
          <t>반기·사업보고서, 증권사</t>
        </is>
      </c>
      <c r="E23" s="10" t="inlineStr">
        <is>
          <t>가로형</t>
        </is>
      </c>
    </row>
    <row r="24">
      <c r="B24" s="9" t="inlineStr">
        <is>
          <t>04_재무상태표</t>
        </is>
      </c>
      <c r="C24" s="10" t="inlineStr">
        <is>
          <t>2020~2026 반기 재무상태 추이</t>
        </is>
      </c>
      <c r="D24" s="10" t="inlineStr">
        <is>
          <t>반기·사업보고서, 증권사</t>
        </is>
      </c>
      <c r="E24" s="10" t="inlineStr">
        <is>
          <t>가로형</t>
        </is>
      </c>
    </row>
    <row r="25">
      <c r="B25" s="9" t="inlineStr">
        <is>
          <t>05_재무비율</t>
        </is>
      </c>
      <c r="C25" s="10" t="inlineStr">
        <is>
          <t>안정성·수익성·성장성 지표</t>
        </is>
      </c>
      <c r="D25" s="10" t="inlineStr">
        <is>
          <t>산출</t>
        </is>
      </c>
      <c r="E25" s="10" t="inlineStr">
        <is>
          <t>가로형</t>
        </is>
      </c>
    </row>
    <row r="26">
      <c r="B26" s="9" t="inlineStr">
        <is>
          <t>06_제품별매출</t>
        </is>
      </c>
      <c r="C26" s="10" t="inlineStr">
        <is>
          <t>브랜드별·내수수출별 매출</t>
        </is>
      </c>
      <c r="D26" s="10" t="inlineStr">
        <is>
          <t>반기보고서</t>
        </is>
      </c>
      <c r="E26" s="10" t="inlineStr">
        <is>
          <t>가로형</t>
        </is>
      </c>
    </row>
    <row r="27">
      <c r="B27" s="9" t="inlineStr">
        <is>
          <t>07_추정치대비실적</t>
        </is>
      </c>
      <c r="C27" s="10" t="inlineStr">
        <is>
          <t>증권신고서 예측 대비 실적</t>
        </is>
      </c>
      <c r="D27" s="10" t="inlineStr">
        <is>
          <t>반기보고서</t>
        </is>
      </c>
      <c r="E27" s="10" t="inlineStr"/>
    </row>
    <row r="28">
      <c r="B28" s="9" t="inlineStr">
        <is>
          <t>08_R&amp;D·국가과제</t>
        </is>
      </c>
      <c r="C28" s="10" t="inlineStr">
        <is>
          <t>연구개발비, 국고보조금, 과제 3건</t>
        </is>
      </c>
      <c r="D28" s="10" t="inlineStr">
        <is>
          <t>반기보고서, SK증권</t>
        </is>
      </c>
      <c r="E28" s="10" t="inlineStr">
        <is>
          <t>가로형</t>
        </is>
      </c>
    </row>
    <row r="29">
      <c r="B29" s="9" t="inlineStr">
        <is>
          <t>09_인허가·수상</t>
        </is>
      </c>
      <c r="C29" s="10" t="inlineStr">
        <is>
          <t>해외 인허가, 기술 검증 이력</t>
        </is>
      </c>
      <c r="D29" s="10" t="inlineStr">
        <is>
          <t>반기보고서</t>
        </is>
      </c>
      <c r="E29" s="10" t="inlineStr"/>
    </row>
    <row r="30">
      <c r="B30" s="9" t="inlineStr">
        <is>
          <t>10_시장·산업</t>
        </is>
      </c>
      <c r="C30" s="10" t="inlineStr">
        <is>
          <t>시장규모, 점유율, 침투율, 판매처</t>
        </is>
      </c>
      <c r="D30" s="10" t="inlineStr">
        <is>
          <t>증권사, 웹</t>
        </is>
      </c>
      <c r="E30" s="10" t="inlineStr">
        <is>
          <t>가로형</t>
        </is>
      </c>
    </row>
    <row r="31">
      <c r="B31" s="9" t="inlineStr">
        <is>
          <t>11_주가·밸류에이션</t>
        </is>
      </c>
      <c r="C31" s="10" t="inlineStr">
        <is>
          <t>월별 주가, 공모가 산정, Peer</t>
        </is>
      </c>
      <c r="D31" s="10" t="inlineStr">
        <is>
          <t>반기보고서, 유진투자증권</t>
        </is>
      </c>
      <c r="E31" s="10" t="inlineStr">
        <is>
          <t>가로형</t>
        </is>
      </c>
    </row>
    <row r="32">
      <c r="B32" s="9" t="inlineStr">
        <is>
          <t>12_관리종목·시뮬레이션</t>
        </is>
      </c>
      <c r="C32" s="10" t="inlineStr">
        <is>
          <t>지정유예 현황, 자기자본 시뮬레이션</t>
        </is>
      </c>
      <c r="D32" s="10" t="inlineStr">
        <is>
          <t>반기보고서, 산출</t>
        </is>
      </c>
      <c r="E32" s="10" t="inlineStr">
        <is>
          <t>가로형</t>
        </is>
      </c>
    </row>
    <row r="33">
      <c r="B33" s="9" t="inlineStr">
        <is>
          <t>13_출처목록</t>
        </is>
      </c>
      <c r="C33" s="10" t="inlineStr">
        <is>
          <t>자료 8건 + 웹 소스 URL</t>
        </is>
      </c>
      <c r="D33" s="10" t="inlineStr">
        <is>
          <t>-</t>
        </is>
      </c>
      <c r="E33" s="10" t="inlineStr"/>
    </row>
    <row r="34"/>
    <row r="35"/>
    <row r="36">
      <c r="B36" s="5" t="inlineStr">
        <is>
          <t>3.  범례</t>
        </is>
      </c>
    </row>
    <row r="37">
      <c r="B37" s="11" t="inlineStr">
        <is>
          <t>파란색 숫자  =  원자료 (공시·리포트에서 그대로 인용)</t>
        </is>
      </c>
    </row>
    <row r="38">
      <c r="B38" s="12" t="inlineStr">
        <is>
          <t>검은색 숫자  =  계산식 (합계·비율·증감률 등 수식으로 산출)</t>
        </is>
      </c>
    </row>
    <row r="39">
      <c r="B39" s="13" t="inlineStr">
        <is>
          <t>별도 표기가 없는 한 금액 단위는 백만원, K-IFRS 별도 기준 (종속회사 없음)</t>
        </is>
      </c>
    </row>
    <row r="40">
      <c r="B40" s="14" t="inlineStr">
        <is>
          <t>⚠️  시장규모는 조사기관별 편차가 크므로 기준기관 미확정 상태임 (10_시장·산업 참조)</t>
        </is>
      </c>
    </row>
    <row r="41"/>
    <row r="42">
      <c r="B42" s="14" t="inlineStr">
        <is>
          <t>미확보 항목: 딜 조건 · CPS 자본분류 감사인 의견 · 아세안 수주 파이프라인 · BEP 매출 (발행사 확보 필요)</t>
        </is>
      </c>
    </row>
    <row r="44">
      <c r="B44" s="13" t="inlineStr">
        <is>
          <t>※ 수식이 포함된 시트가 있습니다. Excel에서 파일을 열면 자동으로 재계산됩니다.</t>
        </is>
      </c>
    </row>
    <row r="45">
      <c r="B45" s="30" t="inlineStr">
        <is>
          <t xml:space="preserve">   (작성 환경에 LibreOffice Calc가 없어 캐시값 없이 저장되었으므로, Excel 외 미리보기 도구에서는 수식 셀이 비어 보일 수 있습니다)</t>
        </is>
      </c>
    </row>
  </sheetData>
  <mergeCells count="2">
    <mergeCell ref="B3:H3"/>
    <mergeCell ref="B2:H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2:E4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34" customWidth="1" min="3" max="3"/>
    <col width="16" customWidth="1" min="4" max="4"/>
    <col width="34" customWidth="1" min="5" max="5"/>
  </cols>
  <sheetData>
    <row r="2">
      <c r="A2" s="15" t="inlineStr">
        <is>
          <t>회사 개요 및 연혁</t>
        </is>
      </c>
    </row>
    <row r="3">
      <c r="A3" s="4" t="inlineStr">
        <is>
          <t>출처: 제10기 반기보고서(2026.08.14)</t>
        </is>
      </c>
    </row>
    <row r="5">
      <c r="B5" s="6" t="inlineStr">
        <is>
          <t>구분</t>
        </is>
      </c>
      <c r="C5" s="6" t="inlineStr">
        <is>
          <t>내용</t>
        </is>
      </c>
      <c r="D5" s="6" t="inlineStr">
        <is>
          <t>구분</t>
        </is>
      </c>
      <c r="E5" s="6" t="inlineStr">
        <is>
          <t>내용</t>
        </is>
      </c>
    </row>
    <row r="6">
      <c r="B6" s="7" t="inlineStr">
        <is>
          <t>회사명</t>
        </is>
      </c>
      <c r="C6" s="8" t="inlineStr">
        <is>
          <t>엔젤로보틱스 주식회사</t>
        </is>
      </c>
      <c r="D6" s="7" t="inlineStr">
        <is>
          <t>종목코드</t>
        </is>
      </c>
      <c r="E6" s="8" t="inlineStr">
        <is>
          <t>455900 (코스닥)</t>
        </is>
      </c>
    </row>
    <row r="7">
      <c r="B7" s="7" t="inlineStr">
        <is>
          <t>설립일</t>
        </is>
      </c>
      <c r="C7" s="8" t="inlineStr">
        <is>
          <t>2017년 2월 (구 ㈜에스지로보틱스)</t>
        </is>
      </c>
      <c r="D7" s="7" t="inlineStr">
        <is>
          <t>상장일</t>
        </is>
      </c>
      <c r="E7" s="8" t="inlineStr">
        <is>
          <t>2024년 3월 26일</t>
        </is>
      </c>
    </row>
    <row r="8">
      <c r="B8" s="7" t="inlineStr">
        <is>
          <t>상장방식</t>
        </is>
      </c>
      <c r="C8" s="8" t="inlineStr">
        <is>
          <t>기술성장기업 특례상장</t>
        </is>
      </c>
      <c r="D8" s="7" t="inlineStr">
        <is>
          <t>인수인</t>
        </is>
      </c>
      <c r="E8" s="8" t="inlineStr">
        <is>
          <t>NH투자증권</t>
        </is>
      </c>
    </row>
    <row r="9">
      <c r="B9" s="7" t="inlineStr">
        <is>
          <t>대표이사</t>
        </is>
      </c>
      <c r="C9" s="8" t="inlineStr">
        <is>
          <t>조남민 (2024.10 선임)</t>
        </is>
      </c>
      <c r="D9" s="7" t="inlineStr">
        <is>
          <t>이사회 의장/CTO</t>
        </is>
      </c>
      <c r="E9" s="8" t="inlineStr">
        <is>
          <t>공경철 (창업자)</t>
        </is>
      </c>
    </row>
    <row r="10">
      <c r="B10" s="7" t="inlineStr">
        <is>
          <t>자본금</t>
        </is>
      </c>
      <c r="C10" s="8" t="inlineStr">
        <is>
          <t>7,696,490,500원</t>
        </is>
      </c>
      <c r="D10" s="7" t="inlineStr">
        <is>
          <t>액면가</t>
        </is>
      </c>
      <c r="E10" s="8" t="inlineStr">
        <is>
          <t>500원</t>
        </is>
      </c>
    </row>
    <row r="11">
      <c r="B11" s="7" t="inlineStr">
        <is>
          <t>발행주식총수</t>
        </is>
      </c>
      <c r="C11" s="8" t="inlineStr">
        <is>
          <t>15,392,981주</t>
        </is>
      </c>
      <c r="D11" s="7" t="inlineStr">
        <is>
          <t>발행할 주식의 총수</t>
        </is>
      </c>
      <c r="E11" s="8" t="inlineStr">
        <is>
          <t>100,000,000주</t>
        </is>
      </c>
    </row>
    <row r="12">
      <c r="B12" s="7" t="inlineStr">
        <is>
          <t>본점</t>
        </is>
      </c>
      <c r="C12" s="8" t="inlineStr">
        <is>
          <t>서울 광진구 광나루로56길 85 테크노마트21</t>
        </is>
      </c>
      <c r="D12" s="7" t="inlineStr">
        <is>
          <t>감사인</t>
        </is>
      </c>
      <c r="E12" s="8" t="inlineStr">
        <is>
          <t>신한회계법인</t>
        </is>
      </c>
    </row>
    <row r="13">
      <c r="B13" s="7" t="inlineStr">
        <is>
          <t>사업장</t>
        </is>
      </c>
      <c r="C13" s="8" t="inlineStr">
        <is>
          <t>플래닛하남(생산, 24.04) / 플래닛대전(연구, 24.07)</t>
        </is>
      </c>
      <c r="D13" s="7" t="inlineStr">
        <is>
          <t>종속회사</t>
        </is>
      </c>
      <c r="E13" s="8" t="inlineStr">
        <is>
          <t>없음 (별도 기준)</t>
        </is>
      </c>
    </row>
    <row r="14">
      <c r="B14" s="7" t="inlineStr">
        <is>
          <t>주요사업</t>
        </is>
      </c>
      <c r="C14" s="8" t="inlineStr">
        <is>
          <t>지능형 웨어러블 로봇 개발·제조·판매 및 국가연구개발 용역</t>
        </is>
      </c>
      <c r="D14" s="7" t="inlineStr"/>
      <c r="E14" s="8" t="inlineStr"/>
    </row>
    <row r="17">
      <c r="B17" s="16" t="inlineStr">
        <is>
          <t>주요 연혁</t>
        </is>
      </c>
    </row>
    <row r="18">
      <c r="B18" s="6" t="inlineStr">
        <is>
          <t>시기</t>
        </is>
      </c>
      <c r="C18" s="6" t="inlineStr">
        <is>
          <t>내용</t>
        </is>
      </c>
      <c r="D18" s="6" t="inlineStr">
        <is>
          <t>구분</t>
        </is>
      </c>
      <c r="E18" s="17" t="n"/>
    </row>
    <row r="19">
      <c r="B19" s="18" t="inlineStr">
        <is>
          <t>2017.02</t>
        </is>
      </c>
      <c r="C19" s="8" t="inlineStr">
        <is>
          <t>㈜에스지로보틱스 설립</t>
        </is>
      </c>
      <c r="D19" s="19" t="inlineStr">
        <is>
          <t>회사설립</t>
        </is>
      </c>
    </row>
    <row r="20">
      <c r="B20" s="18" t="inlineStr">
        <is>
          <t>2017.05</t>
        </is>
      </c>
      <c r="C20" s="8" t="inlineStr">
        <is>
          <t>LG전자 보통주 투자 유치</t>
        </is>
      </c>
      <c r="D20" s="19" t="inlineStr">
        <is>
          <t>투자유치</t>
        </is>
      </c>
    </row>
    <row r="21">
      <c r="B21" s="18" t="inlineStr">
        <is>
          <t>2018.02</t>
        </is>
      </c>
      <c r="C21" s="8" t="inlineStr">
        <is>
          <t>워크온슈트 평창 패럴림픽 성화봉송 지원</t>
        </is>
      </c>
      <c r="D21" s="19" t="inlineStr">
        <is>
          <t>경영활동</t>
        </is>
      </c>
    </row>
    <row r="22">
      <c r="B22" s="18" t="inlineStr">
        <is>
          <t>2018.09</t>
        </is>
      </c>
      <c r="C22" s="8" t="inlineStr">
        <is>
          <t>㈜엔젤로보틱스 사명 변경</t>
        </is>
      </c>
      <c r="D22" s="19" t="inlineStr">
        <is>
          <t>사명변경</t>
        </is>
      </c>
    </row>
    <row r="23">
      <c r="B23" s="18" t="inlineStr">
        <is>
          <t>2019.09</t>
        </is>
      </c>
      <c r="C23" s="8" t="inlineStr">
        <is>
          <t>의료기기 GMP 적합인정 획득</t>
        </is>
      </c>
      <c r="D23" s="19" t="inlineStr">
        <is>
          <t>인증</t>
        </is>
      </c>
    </row>
    <row r="24">
      <c r="B24" s="18" t="inlineStr">
        <is>
          <t>2020.01</t>
        </is>
      </c>
      <c r="C24" s="8" t="inlineStr">
        <is>
          <t>Series A 97억원 투자 유치</t>
        </is>
      </c>
      <c r="D24" s="19" t="inlineStr">
        <is>
          <t>투자유치</t>
        </is>
      </c>
    </row>
    <row r="25">
      <c r="B25" s="18" t="inlineStr">
        <is>
          <t>2020.09</t>
        </is>
      </c>
      <c r="C25" s="8" t="inlineStr">
        <is>
          <t>엔젤렉스 M10 세브란스 재활병원 납품</t>
        </is>
      </c>
      <c r="D25" s="19" t="inlineStr">
        <is>
          <t>경영활동</t>
        </is>
      </c>
    </row>
    <row r="26">
      <c r="B26" s="18" t="inlineStr">
        <is>
          <t>2020.11</t>
        </is>
      </c>
      <c r="C26" s="8" t="inlineStr">
        <is>
          <t>제2회 사이배슬론 전동형 외골격 금메달·동메달</t>
        </is>
      </c>
      <c r="D26" s="19" t="inlineStr">
        <is>
          <t>수상</t>
        </is>
      </c>
    </row>
    <row r="27">
      <c r="B27" s="18" t="inlineStr">
        <is>
          <t>2021.07</t>
        </is>
      </c>
      <c r="C27" s="8" t="inlineStr">
        <is>
          <t>Series B 180억원 투자 유치</t>
        </is>
      </c>
      <c r="D27" s="19" t="inlineStr">
        <is>
          <t>투자유치</t>
        </is>
      </c>
    </row>
    <row r="28">
      <c r="B28" s="18" t="inlineStr">
        <is>
          <t>2021.08</t>
        </is>
      </c>
      <c r="C28" s="8" t="inlineStr">
        <is>
          <t>엔젤렉스 M20 9개 병원 납품</t>
        </is>
      </c>
      <c r="D28" s="19" t="inlineStr">
        <is>
          <t>경영활동</t>
        </is>
      </c>
    </row>
    <row r="29">
      <c r="B29" s="18" t="inlineStr">
        <is>
          <t>2022.05</t>
        </is>
      </c>
      <c r="C29" s="8" t="inlineStr">
        <is>
          <t>말레이시아 UiTM 의과대학 전략적 협약(MOA)</t>
        </is>
      </c>
      <c r="D29" s="19" t="inlineStr">
        <is>
          <t>협약체결</t>
        </is>
      </c>
    </row>
    <row r="30">
      <c r="B30" s="18" t="inlineStr">
        <is>
          <t>2022.08</t>
        </is>
      </c>
      <c r="C30" s="8" t="inlineStr">
        <is>
          <t>ISO 9001·13485 인증 / ANGEL X 출시·육군 우수상용품</t>
        </is>
      </c>
      <c r="D30" s="19" t="inlineStr">
        <is>
          <t>인증</t>
        </is>
      </c>
    </row>
    <row r="31">
      <c r="B31" s="18" t="inlineStr">
        <is>
          <t>2022.12</t>
        </is>
      </c>
      <c r="C31" s="8" t="inlineStr">
        <is>
          <t>ANGEL X 미국 FDA 등록 / 엔젤렉스 M20 의료기기 3등급 품목허가</t>
        </is>
      </c>
      <c r="D31" s="19" t="inlineStr">
        <is>
          <t>인증</t>
        </is>
      </c>
    </row>
    <row r="32">
      <c r="B32" s="18" t="inlineStr">
        <is>
          <t>2023.08</t>
        </is>
      </c>
      <c r="C32" s="8" t="inlineStr">
        <is>
          <t>Series C 100억원 투자 유치</t>
        </is>
      </c>
      <c r="D32" s="19" t="inlineStr">
        <is>
          <t>투자유치</t>
        </is>
      </c>
    </row>
    <row r="33">
      <c r="B33" s="18" t="inlineStr">
        <is>
          <t>2023.09</t>
        </is>
      </c>
      <c r="C33" s="8" t="inlineStr">
        <is>
          <t>LIG넥스원 웨어러블 로봇 실용화 양해각서</t>
        </is>
      </c>
      <c r="D33" s="19" t="inlineStr">
        <is>
          <t>협약체결</t>
        </is>
      </c>
    </row>
    <row r="34">
      <c r="B34" s="18" t="inlineStr">
        <is>
          <t>2023.12</t>
        </is>
      </c>
      <c r="C34" s="8" t="inlineStr">
        <is>
          <t>산업통상자원부 산업기술 대표 성과 10선 (워크온슈트)</t>
        </is>
      </c>
      <c r="D34" s="19" t="inlineStr">
        <is>
          <t>수상선정</t>
        </is>
      </c>
    </row>
    <row r="35">
      <c r="B35" s="18" t="inlineStr">
        <is>
          <t>2024.03</t>
        </is>
      </c>
      <c r="C35" s="8" t="inlineStr">
        <is>
          <t>코스닥시장 상장 (공모가 20,000원)</t>
        </is>
      </c>
      <c r="D35" s="19" t="inlineStr">
        <is>
          <t>상장</t>
        </is>
      </c>
    </row>
    <row r="36">
      <c r="B36" s="18" t="inlineStr">
        <is>
          <t>2024.04</t>
        </is>
      </c>
      <c r="C36" s="8" t="inlineStr">
        <is>
          <t>플래닛하남 생산시설 개소</t>
        </is>
      </c>
      <c r="D36" s="19" t="inlineStr">
        <is>
          <t>지점개소</t>
        </is>
      </c>
    </row>
    <row r="37">
      <c r="B37" s="18" t="inlineStr">
        <is>
          <t>2024.06</t>
        </is>
      </c>
      <c r="C37" s="8" t="inlineStr">
        <is>
          <t>angel GEAR 독일 레드닷 디자인 어워드 수상</t>
        </is>
      </c>
      <c r="D37" s="19" t="inlineStr">
        <is>
          <t>수상선정</t>
        </is>
      </c>
    </row>
    <row r="38">
      <c r="B38" s="18" t="inlineStr">
        <is>
          <t>2024.07</t>
        </is>
      </c>
      <c r="C38" s="8" t="inlineStr">
        <is>
          <t>JAMA Network Open 논문 게재 / ㈜패러데이다이나믹스 지분투자</t>
        </is>
      </c>
      <c r="D38" s="19" t="inlineStr">
        <is>
          <t>경영활동</t>
        </is>
      </c>
    </row>
    <row r="39">
      <c r="B39" s="18" t="inlineStr">
        <is>
          <t>2024.07</t>
        </is>
      </c>
      <c r="C39" s="8" t="inlineStr">
        <is>
          <t>플래닛대전 선행연구소 개소</t>
        </is>
      </c>
      <c r="D39" s="19" t="inlineStr">
        <is>
          <t>지점개소</t>
        </is>
      </c>
    </row>
    <row r="40">
      <c r="B40" s="18" t="inlineStr">
        <is>
          <t>2024.10</t>
        </is>
      </c>
      <c r="C40" s="8" t="inlineStr">
        <is>
          <t>조남민 대표이사 선임 / 제3회 사이배슬론 금메달 (2연패)</t>
        </is>
      </c>
      <c r="D40" s="19" t="inlineStr">
        <is>
          <t>수상선정</t>
        </is>
      </c>
    </row>
    <row r="41">
      <c r="B41" s="18" t="inlineStr">
        <is>
          <t>2025.05</t>
        </is>
      </c>
      <c r="C41" s="8" t="inlineStr">
        <is>
          <t>LIG넥스원 국방용 웨어러블 로봇 기술개발 협력계약</t>
        </is>
      </c>
      <c r="D41" s="19" t="inlineStr">
        <is>
          <t>수주</t>
        </is>
      </c>
    </row>
    <row r="42">
      <c r="B42" s="18" t="inlineStr">
        <is>
          <t>2025.06</t>
        </is>
      </c>
      <c r="C42" s="8" t="inlineStr">
        <is>
          <t>angel SUIT H10 출시 / 엔젤렉스 M20 태국 TFDA 인증</t>
        </is>
      </c>
      <c r="D42" s="19" t="inlineStr">
        <is>
          <t>인증</t>
        </is>
      </c>
    </row>
    <row r="43">
      <c r="B43" s="18" t="inlineStr">
        <is>
          <t>2025.07</t>
        </is>
      </c>
      <c r="C43" s="8" t="inlineStr">
        <is>
          <t>엔젤렉스 M20 베트남 보건복지부 인증</t>
        </is>
      </c>
      <c r="D43" s="19" t="inlineStr">
        <is>
          <t>인증</t>
        </is>
      </c>
    </row>
    <row r="44">
      <c r="B44" s="18" t="inlineStr">
        <is>
          <t>2025.09</t>
        </is>
      </c>
      <c r="C44" s="8" t="inlineStr">
        <is>
          <t>하나금융그룹 미래전략산업 공동발굴 업무협약</t>
        </is>
      </c>
      <c r="D44" s="19" t="inlineStr">
        <is>
          <t>협약체결</t>
        </is>
      </c>
    </row>
    <row r="45">
      <c r="B45" s="18" t="inlineStr">
        <is>
          <t>2025.12</t>
        </is>
      </c>
      <c r="C45" s="8" t="inlineStr">
        <is>
          <t>말레이시아 MDA 인증 / 범부처 의료기기 R&amp;D 어워즈 이사장상</t>
        </is>
      </c>
      <c r="D45" s="19" t="inlineStr">
        <is>
          <t>인증·수상</t>
        </is>
      </c>
    </row>
    <row r="46">
      <c r="B46" s="18" t="inlineStr">
        <is>
          <t>2026.01</t>
        </is>
      </c>
      <c r="C46" s="8" t="inlineStr">
        <is>
          <t>엔젤렉스 M20 말레이시아 공식 출시</t>
        </is>
      </c>
      <c r="D46" s="19" t="inlineStr">
        <is>
          <t>제품수출</t>
        </is>
      </c>
    </row>
    <row r="47">
      <c r="B47" s="18" t="inlineStr">
        <is>
          <t>2026.03</t>
        </is>
      </c>
      <c r="C47" s="8" t="inlineStr">
        <is>
          <t>파이낸셜타임즈 '아시아태평양 고성장 기업 500' 선정</t>
        </is>
      </c>
      <c r="D47" s="19" t="inlineStr">
        <is>
          <t>수상선정</t>
        </is>
      </c>
    </row>
    <row r="48">
      <c r="B48" s="18" t="inlineStr">
        <is>
          <t>2026.06</t>
        </is>
      </c>
      <c r="C48" s="8" t="inlineStr">
        <is>
          <t>범부처 '브레인 투 로봇' 개발 과제 주관기관 선정</t>
        </is>
      </c>
      <c r="D48" s="19" t="inlineStr">
        <is>
          <t>국가과제</t>
        </is>
      </c>
    </row>
  </sheetData>
  <mergeCells count="1">
    <mergeCell ref="D18:E18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/>
  </sheetPr>
  <dimension ref="A2:F4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4" customWidth="1" min="4" max="4"/>
    <col width="12" customWidth="1" min="5" max="5"/>
    <col width="56" customWidth="1" min="6" max="6"/>
  </cols>
  <sheetData>
    <row r="2">
      <c r="A2" s="15" t="inlineStr">
        <is>
          <t>주주 현황 및 경영진</t>
        </is>
      </c>
    </row>
    <row r="3">
      <c r="A3" s="4" t="inlineStr">
        <is>
          <t>기준일 2026.06.30 / 출처: 제10기 반기보고서</t>
        </is>
      </c>
    </row>
    <row r="5">
      <c r="B5" s="16" t="inlineStr">
        <is>
          <t>최대주주 및 특수관계인</t>
        </is>
      </c>
    </row>
    <row r="6">
      <c r="B6" s="6" t="inlineStr">
        <is>
          <t>성명</t>
        </is>
      </c>
      <c r="C6" s="6" t="inlineStr">
        <is>
          <t>관계</t>
        </is>
      </c>
      <c r="D6" s="6" t="inlineStr">
        <is>
          <t>주식수(주)</t>
        </is>
      </c>
      <c r="E6" s="6" t="inlineStr">
        <is>
          <t>지분율</t>
        </is>
      </c>
      <c r="F6" s="6" t="inlineStr"/>
    </row>
    <row r="7">
      <c r="B7" s="20" t="inlineStr">
        <is>
          <t>공경철</t>
        </is>
      </c>
      <c r="C7" s="20" t="inlineStr">
        <is>
          <t>본인 (이사회 의장/CTO)</t>
        </is>
      </c>
      <c r="D7" s="21" t="n">
        <v>3467560</v>
      </c>
      <c r="E7" s="22" t="n">
        <v>0.2256</v>
      </c>
    </row>
    <row r="8">
      <c r="B8" s="20" t="inlineStr">
        <is>
          <t>나동욱</t>
        </is>
      </c>
      <c r="C8" s="20" t="inlineStr">
        <is>
          <t>임원 (임상총괄)</t>
        </is>
      </c>
      <c r="D8" s="21" t="n">
        <v>475680</v>
      </c>
      <c r="E8" s="22" t="n">
        <v>0.0309</v>
      </c>
    </row>
    <row r="9">
      <c r="B9" s="20" t="inlineStr">
        <is>
          <t>정성훈</t>
        </is>
      </c>
      <c r="C9" s="20" t="inlineStr">
        <is>
          <t>기타 (공동목적보유확약)</t>
        </is>
      </c>
      <c r="D9" s="21" t="n">
        <v>281600</v>
      </c>
      <c r="E9" s="22" t="n">
        <v>0.0183</v>
      </c>
    </row>
    <row r="10">
      <c r="B10" s="23" t="inlineStr">
        <is>
          <t>합계</t>
        </is>
      </c>
      <c r="C10" s="23" t="inlineStr">
        <is>
          <t>-</t>
        </is>
      </c>
      <c r="D10" s="24">
        <f>SUM(D7:D9)</f>
        <v/>
      </c>
      <c r="E10" s="25">
        <f>SUM(E7:E9)</f>
        <v/>
      </c>
    </row>
    <row r="12">
      <c r="B12" s="16" t="inlineStr">
        <is>
          <t>주식 소유현황</t>
        </is>
      </c>
    </row>
    <row r="13">
      <c r="B13" s="6" t="inlineStr">
        <is>
          <t>구분</t>
        </is>
      </c>
      <c r="C13" s="6" t="inlineStr">
        <is>
          <t>주주명</t>
        </is>
      </c>
      <c r="D13" s="6" t="inlineStr">
        <is>
          <t>주식수(주)</t>
        </is>
      </c>
      <c r="E13" s="6" t="inlineStr">
        <is>
          <t>지분율</t>
        </is>
      </c>
      <c r="F13" s="6" t="inlineStr"/>
    </row>
    <row r="14">
      <c r="B14" s="26" t="inlineStr">
        <is>
          <t>5% 이상 주주</t>
        </is>
      </c>
      <c r="C14" s="26" t="inlineStr">
        <is>
          <t>공경철</t>
        </is>
      </c>
      <c r="D14" s="21" t="n">
        <v>3467560</v>
      </c>
      <c r="E14" s="22" t="n">
        <v>0.2256</v>
      </c>
    </row>
    <row r="15">
      <c r="B15" s="26" t="inlineStr">
        <is>
          <t>5% 이상 주주</t>
        </is>
      </c>
      <c r="C15" s="26" t="inlineStr">
        <is>
          <t>LG전자 주식회사</t>
        </is>
      </c>
      <c r="D15" s="21" t="n">
        <v>960000</v>
      </c>
      <c r="E15" s="22" t="n">
        <v>0.0624</v>
      </c>
    </row>
    <row r="16">
      <c r="B16" s="26" t="inlineStr">
        <is>
          <t>우리사주조합</t>
        </is>
      </c>
      <c r="C16" s="26" t="inlineStr">
        <is>
          <t>우리사주조합</t>
        </is>
      </c>
      <c r="D16" s="21" t="n">
        <v>119719</v>
      </c>
      <c r="E16" s="22" t="n">
        <v>0.0078</v>
      </c>
    </row>
    <row r="17">
      <c r="B17" s="26" t="inlineStr">
        <is>
          <t>소액주주</t>
        </is>
      </c>
      <c r="C17" s="26" t="inlineStr">
        <is>
          <t>69,348명</t>
        </is>
      </c>
      <c r="D17" s="21" t="n">
        <v>8730773</v>
      </c>
      <c r="E17" s="22" t="n">
        <v>0.5679999999999999</v>
      </c>
    </row>
    <row r="18">
      <c r="B18" s="27" t="inlineStr">
        <is>
          <t>발행주식총수</t>
        </is>
      </c>
      <c r="C18" s="27" t="inlineStr">
        <is>
          <t>-</t>
        </is>
      </c>
      <c r="D18" s="28" t="n">
        <v>15392981</v>
      </c>
      <c r="E18" s="29" t="n">
        <v>1</v>
      </c>
    </row>
    <row r="20">
      <c r="A20" s="30" t="inlineStr">
        <is>
          <t>주1) 최대주주 등은 코스닥 상장규정상 의무보유 1년을 거래소 협의를 통해 3년으로 자발 연장 (미행사 주식매수선택권은 1년 6개월)</t>
        </is>
      </c>
    </row>
    <row r="21">
      <c r="A21" s="30" t="inlineStr">
        <is>
          <t>주2) 설립 이후 최대주주 변동 없음 / 서강대학교산학협력단 2.28%, 연세대학교의료원산학협력단 0.29% 보유 (상장 시점 기준, 출처: 유진투자증권)</t>
        </is>
      </c>
    </row>
    <row r="24">
      <c r="B24" s="16" t="inlineStr">
        <is>
          <t>주요 경영진</t>
        </is>
      </c>
    </row>
    <row r="25">
      <c r="B25" s="6" t="inlineStr">
        <is>
          <t>성명</t>
        </is>
      </c>
      <c r="C25" s="6" t="inlineStr">
        <is>
          <t>직위</t>
        </is>
      </c>
      <c r="D25" s="6" t="inlineStr">
        <is>
          <t>선임</t>
        </is>
      </c>
      <c r="E25" s="6" t="inlineStr">
        <is>
          <t>구분</t>
        </is>
      </c>
      <c r="F25" s="6" t="inlineStr">
        <is>
          <t>주요 경력</t>
        </is>
      </c>
    </row>
    <row r="26">
      <c r="B26" s="31" t="inlineStr">
        <is>
          <t>조남민</t>
        </is>
      </c>
      <c r="C26" s="32" t="inlineStr">
        <is>
          <t>대표이사 (CEO)</t>
        </is>
      </c>
      <c r="D26" s="32" t="inlineStr">
        <is>
          <t>2024.10</t>
        </is>
      </c>
      <c r="E26" s="32" t="inlineStr">
        <is>
          <t>사내이사</t>
        </is>
      </c>
      <c r="F26" s="10" t="inlineStr">
        <is>
          <t>Medtronic Sr. Sales executive, ZimmerBiomet APAC Business Manager, Philips Korea GM, Trackman Greater Asia CEO</t>
        </is>
      </c>
    </row>
    <row r="27">
      <c r="B27" s="31" t="inlineStr">
        <is>
          <t>공경철</t>
        </is>
      </c>
      <c r="C27" s="32" t="inlineStr">
        <is>
          <t>이사회 의장/CTO</t>
        </is>
      </c>
      <c r="D27" s="32" t="inlineStr">
        <is>
          <t>2017.02</t>
        </is>
      </c>
      <c r="E27" s="32" t="inlineStr">
        <is>
          <t>사내이사</t>
        </is>
      </c>
      <c r="F27" s="10" t="inlineStr">
        <is>
          <t>UC Berkeley 기계공학 박사, 서강대 부교수, KAIST 기계공학과 교수</t>
        </is>
      </c>
    </row>
    <row r="28">
      <c r="B28" s="31" t="inlineStr">
        <is>
          <t>나동욱</t>
        </is>
      </c>
      <c r="C28" s="32" t="inlineStr">
        <is>
          <t>이사 (임상총괄)</t>
        </is>
      </c>
      <c r="D28" s="32" t="inlineStr">
        <is>
          <t>2017.02</t>
        </is>
      </c>
      <c r="E28" s="32" t="inlineStr">
        <is>
          <t>미등기</t>
        </is>
      </c>
      <c r="F28" s="10" t="inlineStr">
        <is>
          <t>연세대 의대 재활의학 교수, 융합의학과 겸임교수</t>
        </is>
      </c>
    </row>
    <row r="29">
      <c r="B29" s="31" t="inlineStr">
        <is>
          <t>이수찬</t>
        </is>
      </c>
      <c r="C29" s="32" t="inlineStr">
        <is>
          <t>이사 (마케팅총괄)</t>
        </is>
      </c>
      <c r="D29" s="32" t="inlineStr">
        <is>
          <t>2024.09</t>
        </is>
      </c>
      <c r="E29" s="32" t="inlineStr">
        <is>
          <t>미등기</t>
        </is>
      </c>
      <c r="F29" s="10" t="inlineStr">
        <is>
          <t>삼성전자, 현대오일뱅크, LG전자, 디케이메디칼시스템</t>
        </is>
      </c>
    </row>
    <row r="30">
      <c r="B30" s="31" t="inlineStr">
        <is>
          <t>황상탁</t>
        </is>
      </c>
      <c r="C30" s="32" t="inlineStr">
        <is>
          <t>이사 (인사총괄)</t>
        </is>
      </c>
      <c r="D30" s="32" t="inlineStr">
        <is>
          <t>2025.11</t>
        </is>
      </c>
      <c r="E30" s="32" t="inlineStr">
        <is>
          <t>미등기</t>
        </is>
      </c>
      <c r="F30" s="10" t="inlineStr">
        <is>
          <t>LG Display, SK Telecom, NCSOFT, 한국아스텔라스 이사</t>
        </is>
      </c>
    </row>
    <row r="31">
      <c r="B31" s="31" t="inlineStr">
        <is>
          <t>김주민</t>
        </is>
      </c>
      <c r="C31" s="32" t="inlineStr">
        <is>
          <t>이사 (영업총괄)</t>
        </is>
      </c>
      <c r="D31" s="32" t="inlineStr">
        <is>
          <t>2026.02</t>
        </is>
      </c>
      <c r="E31" s="32" t="inlineStr">
        <is>
          <t>미등기</t>
        </is>
      </c>
      <c r="F31" s="10" t="inlineStr">
        <is>
          <t>한국존슨앤존슨메디칼, 메드트로닉코리아 이사 (22년)</t>
        </is>
      </c>
    </row>
    <row r="32">
      <c r="B32" s="31" t="inlineStr">
        <is>
          <t>장호식</t>
        </is>
      </c>
      <c r="C32" s="32" t="inlineStr">
        <is>
          <t>이사 (품질총괄)</t>
        </is>
      </c>
      <c r="D32" s="32" t="inlineStr">
        <is>
          <t>2026.03</t>
        </is>
      </c>
      <c r="E32" s="32" t="inlineStr">
        <is>
          <t>미등기</t>
        </is>
      </c>
      <c r="F32" s="10" t="inlineStr">
        <is>
          <t>지멘스 헬시니어스 이사, 고영테크놀러지 상무</t>
        </is>
      </c>
    </row>
    <row r="33">
      <c r="B33" s="31" t="inlineStr">
        <is>
          <t>정동선</t>
        </is>
      </c>
      <c r="C33" s="32" t="inlineStr">
        <is>
          <t>이사 (재무총괄)</t>
        </is>
      </c>
      <c r="D33" s="32" t="inlineStr">
        <is>
          <t>2026.04</t>
        </is>
      </c>
      <c r="E33" s="32" t="inlineStr">
        <is>
          <t>미등기</t>
        </is>
      </c>
      <c r="F33" s="10" t="inlineStr">
        <is>
          <t>한영회계법인 Manager, 이지홀딩스, 한울회계법인 회계사</t>
        </is>
      </c>
    </row>
    <row r="34">
      <c r="B34" s="31" t="inlineStr">
        <is>
          <t>김문성</t>
        </is>
      </c>
      <c r="C34" s="32" t="inlineStr">
        <is>
          <t>독립이사</t>
        </is>
      </c>
      <c r="D34" s="32" t="inlineStr">
        <is>
          <t>2022.05</t>
        </is>
      </c>
      <c r="E34" s="32" t="inlineStr">
        <is>
          <t>독립이사</t>
        </is>
      </c>
      <c r="F34" s="10" t="inlineStr">
        <is>
          <t>의정부지방법원 부장판사, 법무법인 이제 변호사</t>
        </is>
      </c>
    </row>
    <row r="35">
      <c r="B35" s="31" t="inlineStr">
        <is>
          <t>김미현</t>
        </is>
      </c>
      <c r="C35" s="32" t="inlineStr">
        <is>
          <t>독립이사</t>
        </is>
      </c>
      <c r="D35" s="32" t="inlineStr">
        <is>
          <t>2024.10</t>
        </is>
      </c>
      <c r="E35" s="32" t="inlineStr">
        <is>
          <t>독립이사</t>
        </is>
      </c>
      <c r="F35" s="10" t="inlineStr">
        <is>
          <t>사법시험·행정고시 합격, 법무법인(유한)광장</t>
        </is>
      </c>
    </row>
    <row r="36">
      <c r="B36" s="31" t="inlineStr">
        <is>
          <t>김인숙</t>
        </is>
      </c>
      <c r="C36" s="32" t="inlineStr">
        <is>
          <t>감사</t>
        </is>
      </c>
      <c r="D36" s="32" t="inlineStr">
        <is>
          <t>2024.03</t>
        </is>
      </c>
      <c r="E36" s="32" t="inlineStr">
        <is>
          <t>감사</t>
        </is>
      </c>
      <c r="F36" s="10" t="inlineStr">
        <is>
          <t>삼일회계법인 공인회계사, 검사, KB증권 사외이사</t>
        </is>
      </c>
    </row>
    <row r="39">
      <c r="B39" s="16" t="inlineStr">
        <is>
          <t>미행사 주식매수선택권</t>
        </is>
      </c>
    </row>
    <row r="40">
      <c r="B40" s="6" t="inlineStr">
        <is>
          <t>회차</t>
        </is>
      </c>
      <c r="C40" s="6" t="inlineStr">
        <is>
          <t>잔여수량(주)</t>
        </is>
      </c>
      <c r="D40" s="6" t="inlineStr">
        <is>
          <t>행사가격(원)</t>
        </is>
      </c>
      <c r="E40" s="6" t="inlineStr">
        <is>
          <t>행사가능 개시</t>
        </is>
      </c>
      <c r="F40" s="6" t="inlineStr">
        <is>
          <t>현 주가 대비</t>
        </is>
      </c>
    </row>
    <row r="41">
      <c r="B41" s="33" t="inlineStr">
        <is>
          <t>8회차</t>
        </is>
      </c>
      <c r="C41" s="34" t="n">
        <v>125000</v>
      </c>
      <c r="D41" s="34" t="n">
        <v>8188</v>
      </c>
      <c r="E41" s="33" t="inlineStr">
        <is>
          <t>2024.11.16</t>
        </is>
      </c>
      <c r="F41" s="33" t="inlineStr">
        <is>
          <t>내가격</t>
        </is>
      </c>
    </row>
    <row r="42">
      <c r="B42" s="33" t="inlineStr">
        <is>
          <t>9회차</t>
        </is>
      </c>
      <c r="C42" s="34" t="n">
        <v>13500</v>
      </c>
      <c r="D42" s="34" t="n">
        <v>8188</v>
      </c>
      <c r="E42" s="33" t="inlineStr">
        <is>
          <t>2025.06.01</t>
        </is>
      </c>
      <c r="F42" s="33" t="inlineStr">
        <is>
          <t>내가격</t>
        </is>
      </c>
    </row>
    <row r="43">
      <c r="B43" s="33" t="inlineStr">
        <is>
          <t>10회차</t>
        </is>
      </c>
      <c r="C43" s="34" t="n">
        <v>22400</v>
      </c>
      <c r="D43" s="34" t="n">
        <v>8190</v>
      </c>
      <c r="E43" s="33" t="inlineStr">
        <is>
          <t>2026.04.01</t>
        </is>
      </c>
      <c r="F43" s="33" t="inlineStr">
        <is>
          <t>내가격</t>
        </is>
      </c>
    </row>
    <row r="44">
      <c r="B44" s="33" t="inlineStr">
        <is>
          <t>11회차</t>
        </is>
      </c>
      <c r="C44" s="34" t="n">
        <v>500000</v>
      </c>
      <c r="D44" s="34" t="n">
        <v>27069</v>
      </c>
      <c r="E44" s="33" t="inlineStr">
        <is>
          <t>2027.10.17</t>
        </is>
      </c>
      <c r="F44" s="33" t="inlineStr">
        <is>
          <t>외가격</t>
        </is>
      </c>
    </row>
    <row r="45">
      <c r="B45" s="33" t="inlineStr">
        <is>
          <t>12회차</t>
        </is>
      </c>
      <c r="C45" s="34" t="n">
        <v>253000</v>
      </c>
      <c r="D45" s="34" t="n">
        <v>28432</v>
      </c>
      <c r="E45" s="33" t="inlineStr">
        <is>
          <t>2029.04.01</t>
        </is>
      </c>
      <c r="F45" s="33" t="inlineStr">
        <is>
          <t>외가격</t>
        </is>
      </c>
    </row>
    <row r="46">
      <c r="B46" s="23" t="inlineStr">
        <is>
          <t>합계</t>
        </is>
      </c>
      <c r="C46" s="24">
        <f>SUM(C41:C45)</f>
        <v/>
      </c>
      <c r="D46" s="23" t="inlineStr">
        <is>
          <t>-</t>
        </is>
      </c>
      <c r="E46" s="23" t="inlineStr">
        <is>
          <t>-</t>
        </is>
      </c>
      <c r="F46" s="25">
        <f>C46/15392981</f>
        <v/>
      </c>
    </row>
    <row r="47">
      <c r="A47" s="30" t="inlineStr">
        <is>
          <t>주) 현 주가 대비 판정은 2026년 6월 평균 23,332원 기준</t>
        </is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/>
  </sheetPr>
  <dimension ref="A1:J2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/>
    <row r="2">
      <c r="A2" s="15" t="inlineStr">
        <is>
          <t>손익계산서 추이 (K-IFRS 별도)</t>
        </is>
      </c>
    </row>
    <row r="3">
      <c r="A3" s="4" t="inlineStr">
        <is>
          <t>단위: 백만원 / 출처: 제10기 반기보고서, 제9기 사업보고서, SK증권·리딩투자증권</t>
        </is>
      </c>
    </row>
    <row r="4"/>
    <row r="5">
      <c r="B5" s="6" t="inlineStr">
        <is>
          <t>구분</t>
        </is>
      </c>
      <c r="C5" s="6" t="inlineStr">
        <is>
          <t>2020</t>
        </is>
      </c>
      <c r="D5" s="6" t="inlineStr">
        <is>
          <t>2021</t>
        </is>
      </c>
      <c r="E5" s="6" t="inlineStr">
        <is>
          <t>2022</t>
        </is>
      </c>
      <c r="F5" s="6" t="inlineStr">
        <is>
          <t>2023</t>
        </is>
      </c>
      <c r="G5" s="6" t="inlineStr">
        <is>
          <t>2024</t>
        </is>
      </c>
      <c r="H5" s="6" t="inlineStr">
        <is>
          <t>2025</t>
        </is>
      </c>
      <c r="I5" s="6" t="inlineStr">
        <is>
          <t>2025 반기</t>
        </is>
      </c>
      <c r="J5" s="6" t="inlineStr">
        <is>
          <t>2026 반기</t>
        </is>
      </c>
    </row>
    <row r="6">
      <c r="B6" s="23" t="inlineStr">
        <is>
          <t>매출액</t>
        </is>
      </c>
      <c r="C6" s="35" t="n">
        <v>209</v>
      </c>
      <c r="D6" s="35" t="n">
        <v>814</v>
      </c>
      <c r="E6" s="35" t="n">
        <v>2184</v>
      </c>
      <c r="F6" s="35" t="n">
        <v>5146</v>
      </c>
      <c r="G6" s="35" t="n">
        <v>4211</v>
      </c>
      <c r="H6" s="35" t="n">
        <v>4641</v>
      </c>
      <c r="I6" s="35" t="n">
        <v>2562</v>
      </c>
      <c r="J6" s="35" t="n">
        <v>1295</v>
      </c>
    </row>
    <row r="7">
      <c r="B7" s="20" t="inlineStr">
        <is>
          <t>매출원가</t>
        </is>
      </c>
      <c r="C7" s="34" t="n">
        <v>128</v>
      </c>
      <c r="D7" s="34" t="n">
        <v>564</v>
      </c>
      <c r="E7" s="34" t="n">
        <v>1182</v>
      </c>
      <c r="F7" s="34" t="n">
        <v>2379</v>
      </c>
      <c r="G7" s="34" t="n">
        <v>1702</v>
      </c>
      <c r="H7" s="34" t="n">
        <v>2030</v>
      </c>
      <c r="I7" s="34" t="n">
        <v>932</v>
      </c>
      <c r="J7" s="34" t="n">
        <v>512</v>
      </c>
    </row>
    <row r="8">
      <c r="B8" s="23" t="inlineStr">
        <is>
          <t>매출총이익</t>
        </is>
      </c>
      <c r="C8" s="36">
        <f>C6-C7</f>
        <v/>
      </c>
      <c r="D8" s="36">
        <f>D6-D7</f>
        <v/>
      </c>
      <c r="E8" s="36">
        <f>E6-E7</f>
        <v/>
      </c>
      <c r="F8" s="36">
        <f>F6-F7</f>
        <v/>
      </c>
      <c r="G8" s="36">
        <f>G6-G7</f>
        <v/>
      </c>
      <c r="H8" s="36">
        <f>H6-H7</f>
        <v/>
      </c>
      <c r="I8" s="36">
        <f>I6-I7</f>
        <v/>
      </c>
      <c r="J8" s="36">
        <f>J6-J7</f>
        <v/>
      </c>
    </row>
    <row r="9">
      <c r="B9" s="20" t="inlineStr">
        <is>
          <t>매출총이익률</t>
        </is>
      </c>
      <c r="C9" s="37">
        <f>IFERROR(C8/C6,"")</f>
        <v/>
      </c>
      <c r="D9" s="37">
        <f>IFERROR(D8/D6,"")</f>
        <v/>
      </c>
      <c r="E9" s="37">
        <f>IFERROR(E8/E6,"")</f>
        <v/>
      </c>
      <c r="F9" s="37">
        <f>IFERROR(F8/F6,"")</f>
        <v/>
      </c>
      <c r="G9" s="37">
        <f>IFERROR(G8/G6,"")</f>
        <v/>
      </c>
      <c r="H9" s="37">
        <f>IFERROR(H8/H6,"")</f>
        <v/>
      </c>
      <c r="I9" s="37">
        <f>IFERROR(I8/I6,"")</f>
        <v/>
      </c>
      <c r="J9" s="37">
        <f>IFERROR(J8/J6,"")</f>
        <v/>
      </c>
    </row>
    <row r="10">
      <c r="B10" s="20" t="inlineStr">
        <is>
          <t>판매비와관리비</t>
        </is>
      </c>
      <c r="C10" s="38">
        <f>C8-C11</f>
        <v/>
      </c>
      <c r="D10" s="38">
        <f>D8-D11</f>
        <v/>
      </c>
      <c r="E10" s="38">
        <f>E8-E11</f>
        <v/>
      </c>
      <c r="F10" s="38">
        <f>F8-F11</f>
        <v/>
      </c>
      <c r="G10" s="34" t="n">
        <v>13351</v>
      </c>
      <c r="H10" s="34" t="n">
        <v>12888</v>
      </c>
      <c r="I10" s="34" t="n">
        <v>6296</v>
      </c>
      <c r="J10" s="34" t="n">
        <v>6946</v>
      </c>
    </row>
    <row r="11">
      <c r="B11" s="23" t="inlineStr">
        <is>
          <t>영업이익(손실)</t>
        </is>
      </c>
      <c r="C11" s="35" t="n">
        <v>-2471</v>
      </c>
      <c r="D11" s="35" t="n">
        <v>-4829</v>
      </c>
      <c r="E11" s="35" t="n">
        <v>-7101</v>
      </c>
      <c r="F11" s="35" t="n">
        <v>-6497</v>
      </c>
      <c r="G11" s="35" t="n">
        <v>-10842</v>
      </c>
      <c r="H11" s="35" t="n">
        <v>-10276</v>
      </c>
      <c r="I11" s="35" t="n">
        <v>-4666</v>
      </c>
      <c r="J11" s="35" t="n">
        <v>-6163</v>
      </c>
    </row>
    <row r="12">
      <c r="B12" s="20" t="inlineStr">
        <is>
          <t>영업이익률</t>
        </is>
      </c>
      <c r="C12" s="37">
        <f>IFERROR(C11/C6,"")</f>
        <v/>
      </c>
      <c r="D12" s="37">
        <f>IFERROR(D11/D6,"")</f>
        <v/>
      </c>
      <c r="E12" s="37">
        <f>IFERROR(E11/E6,"")</f>
        <v/>
      </c>
      <c r="F12" s="37">
        <f>IFERROR(F11/F6,"")</f>
        <v/>
      </c>
      <c r="G12" s="37">
        <f>IFERROR(G11/G6,"")</f>
        <v/>
      </c>
      <c r="H12" s="37">
        <f>IFERROR(H11/H6,"")</f>
        <v/>
      </c>
      <c r="I12" s="37">
        <f>IFERROR(I11/I6,"")</f>
        <v/>
      </c>
      <c r="J12" s="37">
        <f>IFERROR(J11/J6,"")</f>
        <v/>
      </c>
    </row>
    <row r="13">
      <c r="B13" s="20" t="inlineStr">
        <is>
          <t xml:space="preserve">    금융수익</t>
        </is>
      </c>
      <c r="C13" s="39" t="n"/>
      <c r="D13" s="39" t="n"/>
      <c r="E13" s="39" t="n"/>
      <c r="F13" s="39" t="n"/>
      <c r="G13" s="34" t="n">
        <v>1041</v>
      </c>
      <c r="H13" s="34" t="n">
        <v>851</v>
      </c>
      <c r="I13" s="34" t="n">
        <v>481</v>
      </c>
      <c r="J13" s="34" t="n">
        <v>2578</v>
      </c>
    </row>
    <row r="14">
      <c r="B14" s="20" t="inlineStr">
        <is>
          <t xml:space="preserve">    금융비용</t>
        </is>
      </c>
      <c r="C14" s="39" t="n"/>
      <c r="D14" s="39" t="n"/>
      <c r="E14" s="39" t="n"/>
      <c r="F14" s="39" t="n"/>
      <c r="G14" s="34" t="n">
        <v>77</v>
      </c>
      <c r="H14" s="34" t="n">
        <v>129</v>
      </c>
      <c r="I14" s="34" t="n">
        <v>61</v>
      </c>
      <c r="J14" s="34" t="n">
        <v>65</v>
      </c>
    </row>
    <row r="15">
      <c r="B15" s="23" t="inlineStr">
        <is>
          <t>법인세비용차감전순손실</t>
        </is>
      </c>
      <c r="C15" s="35" t="n">
        <v>-2472</v>
      </c>
      <c r="D15" s="35" t="n">
        <v>-24094</v>
      </c>
      <c r="E15" s="35" t="n">
        <v>-6797</v>
      </c>
      <c r="F15" s="35" t="n">
        <v>-9239</v>
      </c>
      <c r="G15" s="35" t="n">
        <v>-10006</v>
      </c>
      <c r="H15" s="35" t="n">
        <v>-9715</v>
      </c>
      <c r="I15" s="35" t="n">
        <v>-4405</v>
      </c>
      <c r="J15" s="35" t="n">
        <v>-3665</v>
      </c>
    </row>
    <row r="16">
      <c r="B16" s="23" t="inlineStr">
        <is>
          <t>당기순손실</t>
        </is>
      </c>
      <c r="C16" s="35" t="n">
        <v>-2472</v>
      </c>
      <c r="D16" s="35" t="n">
        <v>-24094</v>
      </c>
      <c r="E16" s="35" t="n">
        <v>-6797</v>
      </c>
      <c r="F16" s="35" t="n">
        <v>-9239</v>
      </c>
      <c r="G16" s="35" t="n">
        <v>-10006</v>
      </c>
      <c r="H16" s="35" t="n">
        <v>-9715</v>
      </c>
      <c r="I16" s="35" t="n">
        <v>-4405</v>
      </c>
      <c r="J16" s="35" t="n">
        <v>-3665</v>
      </c>
    </row>
    <row r="17">
      <c r="B17" s="20" t="inlineStr">
        <is>
          <t>주당순손실(원)</t>
        </is>
      </c>
      <c r="C17" s="40" t="n">
        <v>-371</v>
      </c>
      <c r="D17" s="40" t="n">
        <v>-3201</v>
      </c>
      <c r="E17" s="40" t="n">
        <v>-770</v>
      </c>
      <c r="F17" s="40" t="n">
        <v>-913</v>
      </c>
      <c r="G17" s="40" t="n">
        <v>-687</v>
      </c>
      <c r="H17" s="40" t="n">
        <v>-642</v>
      </c>
      <c r="I17" s="40" t="n">
        <v>-292</v>
      </c>
      <c r="J17" s="40" t="n">
        <v>-240</v>
      </c>
    </row>
    <row r="18"/>
    <row r="19">
      <c r="A19" s="30" t="inlineStr">
        <is>
          <t>주1) 2020~2023년 매출원가는 SK증권 보고서의 매출총이익을 역산한 값이며, 판매비와관리비는 매출총이익에서 영업이익을 차감한 계산값임</t>
        </is>
      </c>
    </row>
    <row r="20">
      <c r="A20" s="30" t="inlineStr">
        <is>
          <t>주2) 2024·2025년 및 2026년 반기는 제9기 사업보고서·제10기 반기보고서 확정치, 2020~2023년은 증권사 보고서 기준</t>
        </is>
      </c>
    </row>
    <row r="21">
      <c r="A21" s="30" t="inlineStr">
        <is>
          <t>주3) 2026년 반기 매출액은 전년 동기 2,562백만원 대비 49.4% 감소</t>
        </is>
      </c>
    </row>
    <row r="22">
      <c r="A22" s="30" t="inlineStr">
        <is>
          <t>주4) 2024년 이후 판매비와관리비는 공시 확정치를 그대로 입력하였음. 2020~2023년만 '매출총이익 - 영업이익'으로 산출한 계산값임</t>
        </is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/>
  </sheetPr>
  <dimension ref="A2:I2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A2" s="15" t="inlineStr">
        <is>
          <t>재무상태표 추이 (K-IFRS 별도)</t>
        </is>
      </c>
    </row>
    <row r="3">
      <c r="A3" s="4" t="inlineStr">
        <is>
          <t>단위: 백만원 / 출처: 제10기 반기보고서 「요약 별도 재무정보」, 리딩투자증권</t>
        </is>
      </c>
    </row>
    <row r="5">
      <c r="B5" s="6" t="inlineStr">
        <is>
          <t>구분</t>
        </is>
      </c>
      <c r="C5" s="6" t="inlineStr">
        <is>
          <t>2020</t>
        </is>
      </c>
      <c r="D5" s="6" t="inlineStr">
        <is>
          <t>2021</t>
        </is>
      </c>
      <c r="E5" s="6" t="inlineStr">
        <is>
          <t>2022</t>
        </is>
      </c>
      <c r="F5" s="6" t="inlineStr">
        <is>
          <t>2023</t>
        </is>
      </c>
      <c r="G5" s="6" t="inlineStr">
        <is>
          <t>2024</t>
        </is>
      </c>
      <c r="H5" s="6" t="inlineStr">
        <is>
          <t>2025</t>
        </is>
      </c>
      <c r="I5" s="6" t="inlineStr">
        <is>
          <t>2026 반기</t>
        </is>
      </c>
    </row>
    <row r="6">
      <c r="B6" s="23" t="inlineStr">
        <is>
          <t>유동자산</t>
        </is>
      </c>
      <c r="C6" s="35" t="n">
        <v>5500</v>
      </c>
      <c r="D6" s="35" t="n">
        <v>18100</v>
      </c>
      <c r="E6" s="35" t="n">
        <v>12500</v>
      </c>
      <c r="F6" s="35" t="n">
        <v>17200</v>
      </c>
      <c r="G6" s="35" t="n">
        <v>34310</v>
      </c>
      <c r="H6" s="35" t="n">
        <v>28624</v>
      </c>
      <c r="I6" s="35" t="n">
        <v>28922</v>
      </c>
    </row>
    <row r="7">
      <c r="B7" s="20" t="inlineStr">
        <is>
          <t xml:space="preserve">    현금및현금성자산</t>
        </is>
      </c>
      <c r="C7" s="34" t="n">
        <v>5200</v>
      </c>
      <c r="D7" s="34" t="n">
        <v>3100</v>
      </c>
      <c r="E7" s="34" t="n">
        <v>2100</v>
      </c>
      <c r="F7" s="34" t="n">
        <v>4200</v>
      </c>
      <c r="G7" s="34" t="n">
        <v>15064</v>
      </c>
      <c r="H7" s="34" t="n">
        <v>3151</v>
      </c>
      <c r="I7" s="34" t="n">
        <v>5053</v>
      </c>
    </row>
    <row r="8">
      <c r="B8" s="20" t="inlineStr">
        <is>
          <t xml:space="preserve">    단기금융상품</t>
        </is>
      </c>
      <c r="C8" s="34" t="n">
        <v>0</v>
      </c>
      <c r="D8" s="34" t="n">
        <v>14000</v>
      </c>
      <c r="E8" s="34" t="n">
        <v>8200</v>
      </c>
      <c r="F8" s="34" t="n">
        <v>10400</v>
      </c>
      <c r="G8" s="34" t="n">
        <v>16000</v>
      </c>
      <c r="H8" s="34" t="n">
        <v>22000</v>
      </c>
      <c r="I8" s="34" t="n">
        <v>20010</v>
      </c>
    </row>
    <row r="9">
      <c r="B9" s="20" t="inlineStr">
        <is>
          <t xml:space="preserve">    매출채권</t>
        </is>
      </c>
      <c r="C9" s="34" t="n">
        <v>0</v>
      </c>
      <c r="D9" s="34" t="n">
        <v>200</v>
      </c>
      <c r="E9" s="34" t="n">
        <v>400</v>
      </c>
      <c r="F9" s="34" t="n">
        <v>1000</v>
      </c>
      <c r="G9" s="34" t="n">
        <v>722</v>
      </c>
      <c r="H9" s="34" t="n">
        <v>723</v>
      </c>
      <c r="I9" s="34" t="n">
        <v>457</v>
      </c>
    </row>
    <row r="10">
      <c r="B10" s="20" t="inlineStr">
        <is>
          <t xml:space="preserve">    재고자산</t>
        </is>
      </c>
      <c r="C10" s="34" t="n">
        <v>200</v>
      </c>
      <c r="D10" s="34" t="n">
        <v>500</v>
      </c>
      <c r="E10" s="34" t="n">
        <v>1200</v>
      </c>
      <c r="F10" s="34" t="n">
        <v>900</v>
      </c>
      <c r="G10" s="34" t="n">
        <v>1085</v>
      </c>
      <c r="H10" s="34" t="n">
        <v>1340</v>
      </c>
      <c r="I10" s="34" t="n">
        <v>1308</v>
      </c>
    </row>
    <row r="11">
      <c r="B11" s="23" t="inlineStr">
        <is>
          <t>비유동자산</t>
        </is>
      </c>
      <c r="C11" s="35" t="n">
        <v>1000</v>
      </c>
      <c r="D11" s="35" t="n">
        <v>4100</v>
      </c>
      <c r="E11" s="35" t="n">
        <v>4000</v>
      </c>
      <c r="F11" s="35" t="n">
        <v>4100</v>
      </c>
      <c r="G11" s="35" t="n">
        <v>9567</v>
      </c>
      <c r="H11" s="35" t="n">
        <v>8409</v>
      </c>
      <c r="I11" s="35" t="n">
        <v>7344</v>
      </c>
    </row>
    <row r="12">
      <c r="B12" s="20" t="inlineStr">
        <is>
          <t xml:space="preserve">    유형자산</t>
        </is>
      </c>
      <c r="C12" s="34" t="n">
        <v>500</v>
      </c>
      <c r="D12" s="34" t="n">
        <v>3400</v>
      </c>
      <c r="E12" s="34" t="n">
        <v>3300</v>
      </c>
      <c r="F12" s="34" t="n">
        <v>3100</v>
      </c>
      <c r="G12" s="34" t="n">
        <v>3511</v>
      </c>
      <c r="H12" s="34" t="n">
        <v>4070</v>
      </c>
      <c r="I12" s="34" t="n">
        <v>4023</v>
      </c>
    </row>
    <row r="13">
      <c r="B13" s="20" t="inlineStr">
        <is>
          <t xml:space="preserve">    무형자산</t>
        </is>
      </c>
      <c r="C13" s="34" t="n">
        <v>200</v>
      </c>
      <c r="D13" s="34" t="n">
        <v>200</v>
      </c>
      <c r="E13" s="34" t="n">
        <v>300</v>
      </c>
      <c r="F13" s="34" t="n">
        <v>700</v>
      </c>
      <c r="G13" s="34" t="n">
        <v>1031</v>
      </c>
      <c r="H13" s="34" t="n">
        <v>870</v>
      </c>
      <c r="I13" s="34" t="n">
        <v>793</v>
      </c>
    </row>
    <row r="14">
      <c r="B14" s="23" t="inlineStr">
        <is>
          <t>자산총계</t>
        </is>
      </c>
      <c r="C14" s="36">
        <f>C6+C11</f>
        <v/>
      </c>
      <c r="D14" s="36">
        <f>D6+D11</f>
        <v/>
      </c>
      <c r="E14" s="36">
        <f>E6+E11</f>
        <v/>
      </c>
      <c r="F14" s="36">
        <f>F6+F11</f>
        <v/>
      </c>
      <c r="G14" s="36">
        <f>G6+G11</f>
        <v/>
      </c>
      <c r="H14" s="36">
        <f>H6+H11</f>
        <v/>
      </c>
      <c r="I14" s="36">
        <f>I6+I11</f>
        <v/>
      </c>
    </row>
    <row r="15">
      <c r="B15" s="20" t="inlineStr">
        <is>
          <t>유동부채</t>
        </is>
      </c>
      <c r="C15" s="34" t="n">
        <v>100</v>
      </c>
      <c r="D15" s="34" t="n">
        <v>34600</v>
      </c>
      <c r="E15" s="34" t="n">
        <v>34700</v>
      </c>
      <c r="F15" s="34" t="n">
        <v>11000</v>
      </c>
      <c r="G15" s="34" t="n">
        <v>1135</v>
      </c>
      <c r="H15" s="34" t="n">
        <v>1222</v>
      </c>
      <c r="I15" s="34" t="n">
        <v>1892</v>
      </c>
    </row>
    <row r="16">
      <c r="B16" s="20" t="inlineStr">
        <is>
          <t>비유동부채</t>
        </is>
      </c>
      <c r="C16" s="34" t="n">
        <v>300</v>
      </c>
      <c r="D16" s="34" t="n">
        <v>1500</v>
      </c>
      <c r="E16" s="34" t="n">
        <v>1500</v>
      </c>
      <c r="F16" s="34" t="n">
        <v>1600</v>
      </c>
      <c r="G16" s="34" t="n">
        <v>2413</v>
      </c>
      <c r="H16" s="34" t="n">
        <v>3186</v>
      </c>
      <c r="I16" s="34" t="n">
        <v>3392</v>
      </c>
    </row>
    <row r="17">
      <c r="B17" s="23" t="inlineStr">
        <is>
          <t>부채총계</t>
        </is>
      </c>
      <c r="C17" s="36">
        <f>C15+C16</f>
        <v/>
      </c>
      <c r="D17" s="36">
        <f>D15+D16</f>
        <v/>
      </c>
      <c r="E17" s="36">
        <f>E15+E16</f>
        <v/>
      </c>
      <c r="F17" s="36">
        <f>F15+F16</f>
        <v/>
      </c>
      <c r="G17" s="36">
        <f>G15+G16</f>
        <v/>
      </c>
      <c r="H17" s="36">
        <f>H15+H16</f>
        <v/>
      </c>
      <c r="I17" s="36">
        <f>I15+I16</f>
        <v/>
      </c>
    </row>
    <row r="18">
      <c r="B18" s="20" t="inlineStr">
        <is>
          <t xml:space="preserve">    자본금</t>
        </is>
      </c>
      <c r="C18" s="39" t="n"/>
      <c r="D18" s="39" t="n"/>
      <c r="E18" s="39" t="n"/>
      <c r="F18" s="39" t="n"/>
      <c r="G18" s="34" t="n">
        <v>7496</v>
      </c>
      <c r="H18" s="34" t="n">
        <v>7609</v>
      </c>
      <c r="I18" s="34" t="n">
        <v>7696</v>
      </c>
    </row>
    <row r="19">
      <c r="B19" s="20" t="inlineStr">
        <is>
          <t xml:space="preserve">    자본잉여금</t>
        </is>
      </c>
      <c r="C19" s="39" t="n"/>
      <c r="D19" s="39" t="n"/>
      <c r="E19" s="39" t="n"/>
      <c r="F19" s="39" t="n"/>
      <c r="G19" s="34" t="n">
        <v>90007</v>
      </c>
      <c r="H19" s="34" t="n">
        <v>91979</v>
      </c>
      <c r="I19" s="34" t="n">
        <v>94049</v>
      </c>
    </row>
    <row r="20">
      <c r="B20" s="20" t="inlineStr">
        <is>
          <t xml:space="preserve">    결손금</t>
        </is>
      </c>
      <c r="C20" s="39" t="n"/>
      <c r="D20" s="39" t="n"/>
      <c r="E20" s="39" t="n"/>
      <c r="F20" s="39" t="n"/>
      <c r="G20" s="34" t="n">
        <v>-59467</v>
      </c>
      <c r="H20" s="34" t="n">
        <v>-69098</v>
      </c>
      <c r="I20" s="34" t="n">
        <v>-72763</v>
      </c>
    </row>
    <row r="21">
      <c r="B21" s="23" t="inlineStr">
        <is>
          <t>자본총계</t>
        </is>
      </c>
      <c r="C21" s="36">
        <f>C14-C17</f>
        <v/>
      </c>
      <c r="D21" s="36">
        <f>D14-D17</f>
        <v/>
      </c>
      <c r="E21" s="36">
        <f>E14-E17</f>
        <v/>
      </c>
      <c r="F21" s="36">
        <f>F14-F17</f>
        <v/>
      </c>
      <c r="G21" s="36">
        <f>G14-G17</f>
        <v/>
      </c>
      <c r="H21" s="36">
        <f>H14-H17</f>
        <v/>
      </c>
      <c r="I21" s="36">
        <f>I14-I17</f>
        <v/>
      </c>
    </row>
    <row r="23">
      <c r="B23" s="23" t="inlineStr">
        <is>
          <t>즉시 가용 유동성 (현금+단기금융상품)</t>
        </is>
      </c>
      <c r="C23" s="36">
        <f>C7+C8</f>
        <v/>
      </c>
      <c r="D23" s="36">
        <f>D7+D8</f>
        <v/>
      </c>
      <c r="E23" s="36">
        <f>E7+E8</f>
        <v/>
      </c>
      <c r="F23" s="36">
        <f>F7+F8</f>
        <v/>
      </c>
      <c r="G23" s="36">
        <f>G7+G8</f>
        <v/>
      </c>
      <c r="H23" s="36">
        <f>H7+H8</f>
        <v/>
      </c>
      <c r="I23" s="36">
        <f>I7+I8</f>
        <v/>
      </c>
    </row>
    <row r="24">
      <c r="B24" s="20" t="inlineStr">
        <is>
          <t>금융기관 차입금</t>
        </is>
      </c>
      <c r="C24" s="33" t="inlineStr">
        <is>
          <t>-</t>
        </is>
      </c>
      <c r="D24" s="33" t="inlineStr">
        <is>
          <t>-</t>
        </is>
      </c>
      <c r="E24" s="33" t="inlineStr">
        <is>
          <t>-</t>
        </is>
      </c>
      <c r="F24" s="33" t="inlineStr">
        <is>
          <t>-</t>
        </is>
      </c>
      <c r="G24" s="33" t="inlineStr">
        <is>
          <t>-</t>
        </is>
      </c>
      <c r="H24" s="33" t="inlineStr">
        <is>
          <t>-</t>
        </is>
      </c>
      <c r="I24" s="33" t="inlineStr">
        <is>
          <t>-</t>
        </is>
      </c>
    </row>
    <row r="26">
      <c r="A26" s="30" t="inlineStr">
        <is>
          <t>주1) 2024·2025년 및 2026년 반기는 제10기 반기보고서 「요약 별도 재무정보」 확정치</t>
        </is>
      </c>
    </row>
    <row r="27">
      <c r="A27" s="30" t="inlineStr">
        <is>
          <t>주2) 2020~2023년은 리딩투자증권 보고서의 억원 단위 표기를 백만원으로 환산한 근사치이므로 소수점 이하 정밀도가 낮음</t>
        </is>
      </c>
    </row>
    <row r="28">
      <c r="A28" s="30" t="inlineStr">
        <is>
          <t>주3) 2021~2022년 자본총계가 음(-)인 것은 상장 전 발행한 상환전환우선주(RCPS)가 부채로 계상되었기 때문이며, 2023년 보통주 전환으로 해소됨</t>
        </is>
      </c>
    </row>
    <row r="29">
      <c r="A29" s="30" t="inlineStr">
        <is>
          <t>주4) 2026년 반기말 기준 금융기관 차입금·회사채·기업어음·단기사채 미상환 잔액이 모두 없음 (반기보고서 「채무증권 발행실적」)</t>
        </is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tabColor rgb="00002060"/>
    <outlinePr summaryBelow="1" summaryRight="1"/>
    <pageSetUpPr/>
  </sheetPr>
  <dimension ref="A2:I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A2" s="15" t="inlineStr">
        <is>
          <t>주요 재무비율</t>
        </is>
      </c>
    </row>
    <row r="3">
      <c r="A3" s="4" t="inlineStr">
        <is>
          <t>출처: 03_손익계산서·04_재무상태표 기준 산출</t>
        </is>
      </c>
    </row>
    <row r="5">
      <c r="B5" s="6" t="inlineStr">
        <is>
          <t>구분</t>
        </is>
      </c>
      <c r="C5" s="6" t="inlineStr">
        <is>
          <t>2020</t>
        </is>
      </c>
      <c r="D5" s="6" t="inlineStr">
        <is>
          <t>2021</t>
        </is>
      </c>
      <c r="E5" s="6" t="inlineStr">
        <is>
          <t>2022</t>
        </is>
      </c>
      <c r="F5" s="6" t="inlineStr">
        <is>
          <t>2023</t>
        </is>
      </c>
      <c r="G5" s="6" t="inlineStr">
        <is>
          <t>2024</t>
        </is>
      </c>
      <c r="H5" s="6" t="inlineStr">
        <is>
          <t>2025</t>
        </is>
      </c>
      <c r="I5" s="6" t="inlineStr">
        <is>
          <t>2026 반기</t>
        </is>
      </c>
    </row>
    <row r="6">
      <c r="B6" s="20" t="inlineStr">
        <is>
          <t>부채비율</t>
        </is>
      </c>
      <c r="C6" s="37">
        <f>IFERROR('04_재무상태표'!C17/'04_재무상태표'!C21,"")</f>
        <v/>
      </c>
      <c r="D6" s="37">
        <f>IFERROR('04_재무상태표'!D17/'04_재무상태표'!D21,"")</f>
        <v/>
      </c>
      <c r="E6" s="37">
        <f>IFERROR('04_재무상태표'!E17/'04_재무상태표'!E21,"")</f>
        <v/>
      </c>
      <c r="F6" s="37">
        <f>IFERROR('04_재무상태표'!F17/'04_재무상태표'!F21,"")</f>
        <v/>
      </c>
      <c r="G6" s="37">
        <f>IFERROR('04_재무상태표'!G17/'04_재무상태표'!G21,"")</f>
        <v/>
      </c>
      <c r="H6" s="37">
        <f>IFERROR('04_재무상태표'!H17/'04_재무상태표'!H21,"")</f>
        <v/>
      </c>
      <c r="I6" s="37">
        <f>IFERROR('04_재무상태표'!I17/'04_재무상태표'!I21,"")</f>
        <v/>
      </c>
    </row>
    <row r="7">
      <c r="B7" s="20" t="inlineStr">
        <is>
          <t>유동비율</t>
        </is>
      </c>
      <c r="C7" s="37">
        <f>IFERROR('04_재무상태표'!C6/'04_재무상태표'!C15,"")</f>
        <v/>
      </c>
      <c r="D7" s="37">
        <f>IFERROR('04_재무상태표'!D6/'04_재무상태표'!D15,"")</f>
        <v/>
      </c>
      <c r="E7" s="37">
        <f>IFERROR('04_재무상태표'!E6/'04_재무상태표'!E15,"")</f>
        <v/>
      </c>
      <c r="F7" s="37">
        <f>IFERROR('04_재무상태표'!F6/'04_재무상태표'!F15,"")</f>
        <v/>
      </c>
      <c r="G7" s="37">
        <f>IFERROR('04_재무상태표'!G6/'04_재무상태표'!G15,"")</f>
        <v/>
      </c>
      <c r="H7" s="37">
        <f>IFERROR('04_재무상태표'!H6/'04_재무상태표'!H15,"")</f>
        <v/>
      </c>
      <c r="I7" s="37">
        <f>IFERROR('04_재무상태표'!I6/'04_재무상태표'!I15,"")</f>
        <v/>
      </c>
    </row>
    <row r="8">
      <c r="B8" s="20" t="inlineStr">
        <is>
          <t>자기자본비율</t>
        </is>
      </c>
      <c r="C8" s="37">
        <f>IFERROR('04_재무상태표'!C21/'04_재무상태표'!C14,"")</f>
        <v/>
      </c>
      <c r="D8" s="37">
        <f>IFERROR('04_재무상태표'!D21/'04_재무상태표'!D14,"")</f>
        <v/>
      </c>
      <c r="E8" s="37">
        <f>IFERROR('04_재무상태표'!E21/'04_재무상태표'!E14,"")</f>
        <v/>
      </c>
      <c r="F8" s="37">
        <f>IFERROR('04_재무상태표'!F21/'04_재무상태표'!F14,"")</f>
        <v/>
      </c>
      <c r="G8" s="37">
        <f>IFERROR('04_재무상태표'!G21/'04_재무상태표'!G14,"")</f>
        <v/>
      </c>
      <c r="H8" s="37">
        <f>IFERROR('04_재무상태표'!H21/'04_재무상태표'!H14,"")</f>
        <v/>
      </c>
      <c r="I8" s="37">
        <f>IFERROR('04_재무상태표'!I21/'04_재무상태표'!I14,"")</f>
        <v/>
      </c>
    </row>
    <row r="9">
      <c r="B9" s="20" t="inlineStr">
        <is>
          <t>매출총이익률</t>
        </is>
      </c>
      <c r="C9" s="37">
        <f>IFERROR('03_손익계산서'!C8/'03_손익계산서'!C6,"")</f>
        <v/>
      </c>
      <c r="D9" s="37">
        <f>IFERROR('03_손익계산서'!D8/'03_손익계산서'!D6,"")</f>
        <v/>
      </c>
      <c r="E9" s="37">
        <f>IFERROR('03_손익계산서'!E8/'03_손익계산서'!E6,"")</f>
        <v/>
      </c>
      <c r="F9" s="37">
        <f>IFERROR('03_손익계산서'!F8/'03_손익계산서'!F6,"")</f>
        <v/>
      </c>
      <c r="G9" s="37">
        <f>IFERROR('03_손익계산서'!G8/'03_손익계산서'!G6,"")</f>
        <v/>
      </c>
      <c r="H9" s="37">
        <f>IFERROR('03_손익계산서'!H8/'03_손익계산서'!H6,"")</f>
        <v/>
      </c>
      <c r="I9" s="37">
        <f>IFERROR('03_손익계산서'!J8/'03_손익계산서'!J6,"")</f>
        <v/>
      </c>
    </row>
    <row r="10">
      <c r="B10" s="20" t="inlineStr">
        <is>
          <t>영업이익률</t>
        </is>
      </c>
      <c r="C10" s="37">
        <f>IFERROR('03_손익계산서'!C11/'03_손익계산서'!C6,"")</f>
        <v/>
      </c>
      <c r="D10" s="37">
        <f>IFERROR('03_손익계산서'!D11/'03_손익계산서'!D6,"")</f>
        <v/>
      </c>
      <c r="E10" s="37">
        <f>IFERROR('03_손익계산서'!E11/'03_손익계산서'!E6,"")</f>
        <v/>
      </c>
      <c r="F10" s="37">
        <f>IFERROR('03_손익계산서'!F11/'03_손익계산서'!F6,"")</f>
        <v/>
      </c>
      <c r="G10" s="37">
        <f>IFERROR('03_손익계산서'!G11/'03_손익계산서'!G6,"")</f>
        <v/>
      </c>
      <c r="H10" s="37">
        <f>IFERROR('03_손익계산서'!H11/'03_손익계산서'!H6,"")</f>
        <v/>
      </c>
      <c r="I10" s="37">
        <f>IFERROR('03_손익계산서'!J11/'03_손익계산서'!J6,"")</f>
        <v/>
      </c>
    </row>
    <row r="11">
      <c r="B11" s="20" t="inlineStr">
        <is>
          <t>세전손실 / 자기자본</t>
        </is>
      </c>
      <c r="C11" s="37">
        <f>IFERROR('03_손익계산서'!C15/'04_재무상태표'!C21,"")</f>
        <v/>
      </c>
      <c r="D11" s="37">
        <f>IFERROR('03_손익계산서'!D15/'04_재무상태표'!D21,"")</f>
        <v/>
      </c>
      <c r="E11" s="37">
        <f>IFERROR('03_손익계산서'!E15/'04_재무상태표'!E21,"")</f>
        <v/>
      </c>
      <c r="F11" s="37">
        <f>IFERROR('03_손익계산서'!F15/'04_재무상태표'!F21,"")</f>
        <v/>
      </c>
      <c r="G11" s="37">
        <f>IFERROR('03_손익계산서'!G15/'04_재무상태표'!G21,"")</f>
        <v/>
      </c>
      <c r="H11" s="37">
        <f>IFERROR('03_손익계산서'!H15/'04_재무상태표'!H21,"")</f>
        <v/>
      </c>
      <c r="I11" s="37">
        <f>IFERROR('03_손익계산서'!J15/'04_재무상태표'!I21,"")</f>
        <v/>
      </c>
    </row>
    <row r="13">
      <c r="A13" s="30" t="inlineStr">
        <is>
          <t>주1) 마지막 열은 2026년 반기 손익을 2026년 반기말 재무상태와 대응시킨 것으로, 연간 환산치가 아님</t>
        </is>
      </c>
    </row>
    <row r="14">
      <c r="A14" s="30" t="inlineStr">
        <is>
          <t>주2) 세전손실/자기자본 비율은 코스닥 관리종목 계속사업손실 요건의 판정 지표임 (12_관리종목·시뮬레이션 참조)</t>
        </is>
      </c>
    </row>
    <row r="15">
      <c r="A15" s="30" t="inlineStr">
        <is>
          <t>주3) 2020~2023년은 근사 환산치 기반이므로 참고용</t>
        </is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tabColor rgb="00002060"/>
    <outlinePr summaryBelow="1" summaryRight="1"/>
    <pageSetUpPr/>
  </sheetPr>
  <dimension ref="A2:H2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2">
      <c r="A2" s="15" t="inlineStr">
        <is>
          <t>제품별 매출 실적</t>
        </is>
      </c>
    </row>
    <row r="3">
      <c r="A3" s="4" t="inlineStr">
        <is>
          <t>단위: 백만원 / 출처: 제10기 반기보고서 「매출 실적」</t>
        </is>
      </c>
    </row>
    <row r="5">
      <c r="B5" s="6" t="inlineStr">
        <is>
          <t>매출유형</t>
        </is>
      </c>
      <c r="C5" s="6" t="inlineStr">
        <is>
          <t>품목</t>
        </is>
      </c>
      <c r="D5" s="6" t="inlineStr">
        <is>
          <t>2024</t>
        </is>
      </c>
      <c r="E5" s="6" t="inlineStr">
        <is>
          <t>2025</t>
        </is>
      </c>
      <c r="F5" s="6" t="inlineStr">
        <is>
          <t>2026 반기</t>
        </is>
      </c>
      <c r="G5" s="6" t="inlineStr">
        <is>
          <t>2025 비중</t>
        </is>
      </c>
      <c r="H5" s="6" t="inlineStr">
        <is>
          <t>2026반기 비중</t>
        </is>
      </c>
    </row>
    <row r="6">
      <c r="B6" s="41" t="inlineStr">
        <is>
          <t>제품매출</t>
        </is>
      </c>
      <c r="C6" s="20" t="inlineStr">
        <is>
          <t>angel MEDI (내수)</t>
        </is>
      </c>
      <c r="D6" s="21" t="n">
        <v>3129</v>
      </c>
      <c r="E6" s="21" t="n">
        <v>1446</v>
      </c>
      <c r="F6" s="21" t="n">
        <v>650</v>
      </c>
      <c r="G6" s="42">
        <f>IFERROR(E6/E$13,"")</f>
        <v/>
      </c>
      <c r="H6" s="42">
        <f>IFERROR(F6/F$13,"")</f>
        <v/>
      </c>
    </row>
    <row r="7">
      <c r="B7" s="41" t="inlineStr">
        <is>
          <t>제품매출</t>
        </is>
      </c>
      <c r="C7" s="20" t="inlineStr">
        <is>
          <t>angel MEDI (수출)</t>
        </is>
      </c>
      <c r="D7" s="21" t="n">
        <v>0</v>
      </c>
      <c r="E7" s="21" t="n">
        <v>241</v>
      </c>
      <c r="F7" s="21" t="n">
        <v>125</v>
      </c>
      <c r="G7" s="42">
        <f>IFERROR(E7/E$13,"")</f>
        <v/>
      </c>
      <c r="H7" s="42">
        <f>IFERROR(F7/F$13,"")</f>
        <v/>
      </c>
    </row>
    <row r="8">
      <c r="B8" s="41" t="inlineStr">
        <is>
          <t>제품매출</t>
        </is>
      </c>
      <c r="C8" s="20" t="inlineStr">
        <is>
          <t>angel SUIT</t>
        </is>
      </c>
      <c r="D8" s="21" t="n">
        <v>369</v>
      </c>
      <c r="E8" s="21" t="n">
        <v>1380</v>
      </c>
      <c r="F8" s="21" t="n">
        <v>192</v>
      </c>
      <c r="G8" s="42">
        <f>IFERROR(E8/E$13,"")</f>
        <v/>
      </c>
      <c r="H8" s="42">
        <f>IFERROR(F8/F$13,"")</f>
        <v/>
      </c>
    </row>
    <row r="9">
      <c r="B9" s="41" t="inlineStr">
        <is>
          <t>제품매출</t>
        </is>
      </c>
      <c r="C9" s="20" t="inlineStr">
        <is>
          <t>angel GEAR</t>
        </is>
      </c>
      <c r="D9" s="21" t="n">
        <v>248</v>
      </c>
      <c r="E9" s="21" t="n">
        <v>121</v>
      </c>
      <c r="F9" s="21" t="n">
        <v>30</v>
      </c>
      <c r="G9" s="42">
        <f>IFERROR(E9/E$13,"")</f>
        <v/>
      </c>
      <c r="H9" s="42">
        <f>IFERROR(F9/F$13,"")</f>
        <v/>
      </c>
    </row>
    <row r="10">
      <c r="B10" s="41" t="inlineStr">
        <is>
          <t>제품매출</t>
        </is>
      </c>
      <c r="C10" s="20" t="inlineStr">
        <is>
          <t>angel KIT</t>
        </is>
      </c>
      <c r="D10" s="21" t="n">
        <v>26</v>
      </c>
      <c r="E10" s="21" t="n">
        <v>116</v>
      </c>
      <c r="F10" s="21" t="n">
        <v>0</v>
      </c>
      <c r="G10" s="42">
        <f>IFERROR(E10/E$13,"")</f>
        <v/>
      </c>
      <c r="H10" s="42">
        <f>IFERROR(F10/F$13,"")</f>
        <v/>
      </c>
    </row>
    <row r="11">
      <c r="B11" s="41" t="inlineStr">
        <is>
          <t>용역매출</t>
        </is>
      </c>
      <c r="C11" s="20" t="inlineStr">
        <is>
          <t>웨어러블로봇 개발용역</t>
        </is>
      </c>
      <c r="D11" s="21" t="n">
        <v>419</v>
      </c>
      <c r="E11" s="21" t="n">
        <v>758</v>
      </c>
      <c r="F11" s="21" t="n">
        <v>44</v>
      </c>
      <c r="G11" s="42">
        <f>IFERROR(E11/E$13,"")</f>
        <v/>
      </c>
      <c r="H11" s="42">
        <f>IFERROR(F11/F$13,"")</f>
        <v/>
      </c>
    </row>
    <row r="12">
      <c r="B12" s="41" t="inlineStr">
        <is>
          <t>용역매출</t>
        </is>
      </c>
      <c r="C12" s="20" t="inlineStr">
        <is>
          <t>유상유지보수</t>
        </is>
      </c>
      <c r="D12" s="21" t="n">
        <v>20</v>
      </c>
      <c r="E12" s="21" t="n">
        <v>579</v>
      </c>
      <c r="F12" s="21" t="n">
        <v>254</v>
      </c>
      <c r="G12" s="42">
        <f>IFERROR(E12/E$13,"")</f>
        <v/>
      </c>
      <c r="H12" s="42">
        <f>IFERROR(F12/F$13,"")</f>
        <v/>
      </c>
    </row>
    <row r="13">
      <c r="B13" s="23" t="inlineStr">
        <is>
          <t>합계</t>
        </is>
      </c>
      <c r="C13" s="23" t="inlineStr">
        <is>
          <t>-</t>
        </is>
      </c>
      <c r="D13" s="24">
        <f>SUM(D6:D12)</f>
        <v/>
      </c>
      <c r="E13" s="24">
        <f>SUM(E6:E12)</f>
        <v/>
      </c>
      <c r="F13" s="24">
        <f>SUM(F6:F12)</f>
        <v/>
      </c>
      <c r="G13" s="25">
        <f>IFERROR(E13/E13,"")</f>
        <v/>
      </c>
      <c r="H13" s="25">
        <f>IFERROR(F13/F13,"")</f>
        <v/>
      </c>
    </row>
    <row r="15">
      <c r="B15" s="43" t="inlineStr">
        <is>
          <t>수출 비중</t>
        </is>
      </c>
      <c r="C15" s="44" t="n"/>
      <c r="D15" s="45">
        <f>E7/E13</f>
        <v/>
      </c>
      <c r="E15" s="45">
        <f>F7/F13</f>
        <v/>
      </c>
    </row>
    <row r="17">
      <c r="A17" s="30" t="inlineStr">
        <is>
          <t>주1) angel MEDI 내수 매출은 2024년 3,129백만원에서 2026년 반기 650백만원으로 축소</t>
        </is>
      </c>
    </row>
    <row r="18">
      <c r="A18" s="30" t="inlineStr">
        <is>
          <t>주2) angel SUIT는 2025년 전년 대비 3.7배, 유상유지보수는 29배 증가</t>
        </is>
      </c>
    </row>
    <row r="19">
      <c r="A19" s="30" t="inlineStr">
        <is>
          <t>주3) 수출은 2025년 최초 발생 (angel MEDI 241백만원)</t>
        </is>
      </c>
    </row>
    <row r="22">
      <c r="B22" s="16" t="inlineStr">
        <is>
          <t>판매처 구성 (2023년)</t>
        </is>
      </c>
    </row>
    <row r="23">
      <c r="B23" s="6" t="inlineStr">
        <is>
          <t>판매처</t>
        </is>
      </c>
      <c r="C23" s="6" t="inlineStr">
        <is>
          <t>비중</t>
        </is>
      </c>
      <c r="D23" s="6" t="inlineStr">
        <is>
          <t>판매처</t>
        </is>
      </c>
      <c r="E23" s="6" t="inlineStr">
        <is>
          <t>비중</t>
        </is>
      </c>
    </row>
    <row r="24">
      <c r="B24" s="46" t="inlineStr">
        <is>
          <t>회복기재활의료기관</t>
        </is>
      </c>
      <c r="C24" s="47" t="n">
        <v>0.38</v>
      </c>
      <c r="D24" s="46" t="inlineStr">
        <is>
          <t>재활병원</t>
        </is>
      </c>
      <c r="E24" s="47" t="n">
        <v>0.1</v>
      </c>
    </row>
    <row r="25">
      <c r="B25" s="46" t="inlineStr">
        <is>
          <t>상급종합병원</t>
        </is>
      </c>
      <c r="C25" s="47" t="n">
        <v>0.21</v>
      </c>
      <c r="D25" s="46" t="inlineStr">
        <is>
          <t>요양병원</t>
        </is>
      </c>
      <c r="E25" s="47" t="n">
        <v>0.08</v>
      </c>
    </row>
    <row r="26">
      <c r="B26" s="46" t="inlineStr">
        <is>
          <t>장애인복지관</t>
        </is>
      </c>
      <c r="C26" s="47" t="n">
        <v>0.1</v>
      </c>
      <c r="D26" s="46" t="inlineStr">
        <is>
          <t>대학교</t>
        </is>
      </c>
      <c r="E26" s="47" t="n">
        <v>0.03</v>
      </c>
    </row>
    <row r="27">
      <c r="B27" s="46" t="inlineStr">
        <is>
          <t>재활학교</t>
        </is>
      </c>
      <c r="C27" s="47" t="n">
        <v>0.1</v>
      </c>
      <c r="D27" s="46" t="inlineStr">
        <is>
          <t>합계</t>
        </is>
      </c>
      <c r="E27" s="47" t="n">
        <v>1</v>
      </c>
    </row>
    <row r="28">
      <c r="A28" s="30" t="inlineStr">
        <is>
          <t>출처: 엔젤로보틱스, 한국IR협의회 기업리서치센터(2024.09.26)</t>
        </is>
      </c>
    </row>
  </sheetData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tabColor rgb="00002060"/>
    <outlinePr summaryBelow="1" summaryRight="1"/>
    <pageSetUpPr/>
  </sheetPr>
  <dimension ref="A2:F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2">
      <c r="A2" s="15" t="inlineStr">
        <is>
          <t>증권신고서 추정치 대비 실적</t>
        </is>
      </c>
    </row>
    <row r="3">
      <c r="A3" s="4" t="inlineStr">
        <is>
          <t>단위: 백만원 / 출처: 제10기 반기보고서 「영업실적 등 예측치 대비 실적 비교」 (인수인: NH투자증권)</t>
        </is>
      </c>
    </row>
    <row r="5">
      <c r="B5" s="6" t="inlineStr">
        <is>
          <t>구분</t>
        </is>
      </c>
      <c r="C5" s="6" t="inlineStr">
        <is>
          <t>예측치</t>
        </is>
      </c>
      <c r="D5" s="6" t="inlineStr">
        <is>
          <t>실적치</t>
        </is>
      </c>
      <c r="E5" s="6" t="inlineStr">
        <is>
          <t>달성 여부</t>
        </is>
      </c>
      <c r="F5" s="6" t="inlineStr">
        <is>
          <t>괴리율</t>
        </is>
      </c>
    </row>
    <row r="6">
      <c r="B6" s="48" t="inlineStr">
        <is>
          <t>2024년 매출액</t>
        </is>
      </c>
      <c r="C6" s="49" t="n">
        <v>9016</v>
      </c>
      <c r="D6" s="49" t="n">
        <v>4211</v>
      </c>
      <c r="E6" s="50" t="inlineStr">
        <is>
          <t>미달성</t>
        </is>
      </c>
      <c r="F6" s="47" t="n">
        <v>0.5329</v>
      </c>
    </row>
    <row r="7">
      <c r="B7" s="48" t="inlineStr">
        <is>
          <t>2024년 영업이익</t>
        </is>
      </c>
      <c r="C7" s="49" t="n">
        <v>-5141</v>
      </c>
      <c r="D7" s="49" t="n">
        <v>-10842</v>
      </c>
      <c r="E7" s="50" t="inlineStr">
        <is>
          <t>미달성</t>
        </is>
      </c>
      <c r="F7" s="47" t="n">
        <v>1.1089</v>
      </c>
    </row>
    <row r="8">
      <c r="B8" s="48" t="inlineStr">
        <is>
          <t>2024년 당기순이익</t>
        </is>
      </c>
      <c r="C8" s="49" t="n">
        <v>-4407</v>
      </c>
      <c r="D8" s="49" t="n">
        <v>-10006</v>
      </c>
      <c r="E8" s="50" t="inlineStr">
        <is>
          <t>미달성</t>
        </is>
      </c>
      <c r="F8" s="47" t="n">
        <v>1.2705</v>
      </c>
    </row>
    <row r="9">
      <c r="B9" s="48" t="inlineStr">
        <is>
          <t>2025년 매출액</t>
        </is>
      </c>
      <c r="C9" s="49" t="n">
        <v>20842</v>
      </c>
      <c r="D9" s="49" t="n">
        <v>4641</v>
      </c>
      <c r="E9" s="50" t="inlineStr">
        <is>
          <t>미달성</t>
        </is>
      </c>
      <c r="F9" s="47" t="n">
        <v>0.7773</v>
      </c>
    </row>
    <row r="10">
      <c r="B10" s="48" t="inlineStr">
        <is>
          <t>2025년 영업이익</t>
        </is>
      </c>
      <c r="C10" s="49" t="n">
        <v>1766</v>
      </c>
      <c r="D10" s="49" t="n">
        <v>-10276</v>
      </c>
      <c r="E10" s="50" t="inlineStr">
        <is>
          <t>미달성</t>
        </is>
      </c>
      <c r="F10" s="47" t="n">
        <v>6.8188</v>
      </c>
    </row>
    <row r="11">
      <c r="B11" s="48" t="inlineStr">
        <is>
          <t>2025년 당기순이익</t>
        </is>
      </c>
      <c r="C11" s="49" t="n">
        <v>2364</v>
      </c>
      <c r="D11" s="49" t="n">
        <v>-9715</v>
      </c>
      <c r="E11" s="50" t="inlineStr">
        <is>
          <t>미달성</t>
        </is>
      </c>
      <c r="F11" s="47" t="n">
        <v>5.1096</v>
      </c>
    </row>
    <row r="12">
      <c r="B12" s="48" t="inlineStr">
        <is>
          <t>2026년 매출액</t>
        </is>
      </c>
      <c r="C12" s="49" t="n">
        <v>36179</v>
      </c>
      <c r="D12" s="51" t="n"/>
      <c r="E12" s="50" t="inlineStr">
        <is>
          <t>-</t>
        </is>
      </c>
      <c r="F12" s="52" t="n"/>
    </row>
    <row r="13">
      <c r="B13" s="48" t="inlineStr">
        <is>
          <t>2026년 영업이익</t>
        </is>
      </c>
      <c r="C13" s="49" t="n">
        <v>10643</v>
      </c>
      <c r="D13" s="51" t="n"/>
      <c r="E13" s="50" t="inlineStr">
        <is>
          <t>-</t>
        </is>
      </c>
      <c r="F13" s="52" t="n"/>
    </row>
    <row r="14">
      <c r="B14" s="48" t="inlineStr">
        <is>
          <t>2026년 당기순이익</t>
        </is>
      </c>
      <c r="C14" s="49" t="n">
        <v>11450</v>
      </c>
      <c r="D14" s="51" t="n"/>
      <c r="E14" s="50" t="inlineStr">
        <is>
          <t>-</t>
        </is>
      </c>
      <c r="F14" s="52" t="n"/>
    </row>
    <row r="16">
      <c r="B16" s="10" t="inlineStr">
        <is>
          <t>2026년 반기 실적 (참고)</t>
        </is>
      </c>
      <c r="C16" s="53" t="inlineStr">
        <is>
          <t>-</t>
        </is>
      </c>
      <c r="D16" s="53" t="inlineStr">
        <is>
          <t>매출 1,295 / 영업손실 (6,163)</t>
        </is>
      </c>
      <c r="E16" s="53" t="inlineStr">
        <is>
          <t>-</t>
        </is>
      </c>
      <c r="F16" s="53" t="inlineStr">
        <is>
          <t>-</t>
        </is>
      </c>
    </row>
    <row r="18">
      <c r="A18" s="30" t="inlineStr">
        <is>
          <t>주1) 괴리율 = (예측치 - 실적치) / 예측치</t>
        </is>
      </c>
    </row>
    <row r="19">
      <c r="A19" s="30" t="inlineStr">
        <is>
          <t>주2) 회사가 공시한 괴리 사유: ① 의정갈등 장기화에 따른 의료기관 투자 위축 ② 유럽 CE MDR 인증 지연에 따른 수출 발생 지연 ③ 정부 주도 산업안전 웨어러블 로봇 보급 예산 감소</t>
        </is>
      </c>
    </row>
    <row r="20">
      <c r="A20" s="30" t="inlineStr">
        <is>
          <t>주3) 2025년 매출 미달분 중 인증 지연 요인이 24%p를 차지하며, 해당 요인은 아세안 3개국 인허가 완결로 해소</t>
        </is>
      </c>
    </row>
  </sheetData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tabColor rgb="00002060"/>
    <outlinePr summaryBelow="1" summaryRight="1"/>
    <pageSetUpPr/>
  </sheetPr>
  <dimension ref="A2:G3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A2" s="15" t="inlineStr">
        <is>
          <t>연구개발비 및 국가연구개발과제</t>
        </is>
      </c>
    </row>
    <row r="3">
      <c r="A3" s="4" t="inlineStr">
        <is>
          <t>단위: 백만원 / 출처: 제10기 반기보고서 「연구개발비용」·「국가연구개발 수행현황」, SK증권</t>
        </is>
      </c>
    </row>
    <row r="5">
      <c r="B5" s="6" t="inlineStr">
        <is>
          <t>구분</t>
        </is>
      </c>
      <c r="C5" s="6" t="inlineStr">
        <is>
          <t>2022</t>
        </is>
      </c>
      <c r="D5" s="6" t="inlineStr">
        <is>
          <t>2023</t>
        </is>
      </c>
      <c r="E5" s="6" t="inlineStr">
        <is>
          <t>2024</t>
        </is>
      </c>
      <c r="F5" s="6" t="inlineStr">
        <is>
          <t>2025</t>
        </is>
      </c>
      <c r="G5" s="6" t="inlineStr">
        <is>
          <t>2026 반기</t>
        </is>
      </c>
    </row>
    <row r="6">
      <c r="B6" s="10" t="inlineStr">
        <is>
          <t>인건비</t>
        </is>
      </c>
      <c r="C6" s="54" t="n"/>
      <c r="D6" s="54" t="n"/>
      <c r="E6" s="55" t="n">
        <v>2104</v>
      </c>
      <c r="F6" s="55" t="n">
        <v>2586</v>
      </c>
      <c r="G6" s="55" t="n">
        <v>1287</v>
      </c>
    </row>
    <row r="7">
      <c r="B7" s="10" t="inlineStr">
        <is>
          <t>재료비·외주비</t>
        </is>
      </c>
      <c r="C7" s="54" t="n"/>
      <c r="D7" s="54" t="n"/>
      <c r="E7" s="55" t="n">
        <v>1529</v>
      </c>
      <c r="F7" s="55" t="n">
        <v>1862</v>
      </c>
      <c r="G7" s="55" t="n">
        <v>808</v>
      </c>
    </row>
    <row r="8">
      <c r="B8" s="43" t="inlineStr">
        <is>
          <t>연구개발비 합계</t>
        </is>
      </c>
      <c r="C8" s="56" t="n">
        <v>3461</v>
      </c>
      <c r="D8" s="56" t="n">
        <v>3378</v>
      </c>
      <c r="E8" s="56" t="n">
        <v>3633</v>
      </c>
      <c r="F8" s="56" t="n">
        <v>4449</v>
      </c>
      <c r="G8" s="56" t="n">
        <v>2095</v>
      </c>
    </row>
    <row r="9">
      <c r="B9" s="10" t="inlineStr">
        <is>
          <t>국고보조금</t>
        </is>
      </c>
      <c r="C9" s="55" t="n">
        <v>-1585</v>
      </c>
      <c r="D9" s="55" t="n">
        <v>-2183</v>
      </c>
      <c r="E9" s="55" t="n">
        <v>-1202</v>
      </c>
      <c r="F9" s="55" t="n">
        <v>-1731</v>
      </c>
      <c r="G9" s="55" t="n">
        <v>-766</v>
      </c>
    </row>
    <row r="10">
      <c r="B10" s="43" t="inlineStr">
        <is>
          <t>보조금 차감 후</t>
        </is>
      </c>
      <c r="C10" s="57">
        <f>C8+C9</f>
        <v/>
      </c>
      <c r="D10" s="57">
        <f>D8+D9</f>
        <v/>
      </c>
      <c r="E10" s="57">
        <f>E8+E9</f>
        <v/>
      </c>
      <c r="F10" s="57">
        <f>F8+F9</f>
        <v/>
      </c>
      <c r="G10" s="57">
        <f>G8+G9</f>
        <v/>
      </c>
    </row>
    <row r="11">
      <c r="B11" s="10" t="inlineStr">
        <is>
          <t>보조금 분담률</t>
        </is>
      </c>
      <c r="C11" s="58">
        <f>IFERROR(-C9/C8,"")</f>
        <v/>
      </c>
      <c r="D11" s="58">
        <f>IFERROR(-D9/D8,"")</f>
        <v/>
      </c>
      <c r="E11" s="58">
        <f>IFERROR(-E9/E8,"")</f>
        <v/>
      </c>
      <c r="F11" s="58">
        <f>IFERROR(-F9/F8,"")</f>
        <v/>
      </c>
      <c r="G11" s="58">
        <f>IFERROR(-G9/G8,"")</f>
        <v/>
      </c>
    </row>
    <row r="12">
      <c r="B12" s="10" t="inlineStr">
        <is>
          <t>매출액 대비 R&amp;D 비율</t>
        </is>
      </c>
      <c r="C12" s="59" t="n">
        <v>1.58</v>
      </c>
      <c r="D12" s="59" t="n">
        <v>0.66</v>
      </c>
      <c r="E12" s="59" t="n">
        <v>0.8628</v>
      </c>
      <c r="F12" s="59" t="n">
        <v>0.9585</v>
      </c>
      <c r="G12" s="59" t="n">
        <v>1.6173</v>
      </c>
    </row>
    <row r="14">
      <c r="A14" s="30" t="inlineStr">
        <is>
          <t>주1) 2022~2023년은 SK증권 보고서 기준, 2024년 이후는 반기보고서·사업보고서 확정치</t>
        </is>
      </c>
    </row>
    <row r="15">
      <c r="A15" s="30" t="inlineStr">
        <is>
          <t>주2) 국고보조금이 연구개발비의 33~39%를 실제로 차감하여 영업손실 규모를 축소시키는 구조</t>
        </is>
      </c>
    </row>
    <row r="18">
      <c r="B18" s="16" t="inlineStr">
        <is>
          <t>수행 중인 국가연구개발과제 (2026년 반기 기준)</t>
        </is>
      </c>
    </row>
    <row r="19">
      <c r="B19" s="6" t="inlineStr">
        <is>
          <t>과제명</t>
        </is>
      </c>
      <c r="C19" s="6" t="inlineStr">
        <is>
          <t>연구개발기간</t>
        </is>
      </c>
      <c r="D19" s="6" t="inlineStr">
        <is>
          <t>비고</t>
        </is>
      </c>
      <c r="E19" s="6" t="inlineStr"/>
      <c r="F19" s="6" t="inlineStr"/>
    </row>
    <row r="20">
      <c r="B20" s="10" t="inlineStr">
        <is>
          <t>운동-감각 동기화가 가능한 Brain-to-Robot 풀스택 시스템 개발 및 상용화</t>
        </is>
      </c>
      <c r="C20" s="32" t="inlineStr">
        <is>
          <t>2026.04~2032.12</t>
        </is>
      </c>
      <c r="D20" s="32" t="inlineStr">
        <is>
          <t>수행중 (주관기관)</t>
        </is>
      </c>
    </row>
    <row r="21">
      <c r="B21" s="10" t="inlineStr">
        <is>
          <t>AI 기반의 웨어러블 로봇의 개인화 및 정밀건강 진단 서비스 개발</t>
        </is>
      </c>
      <c r="C21" s="32" t="inlineStr">
        <is>
          <t>2026.05~2027.04</t>
        </is>
      </c>
      <c r="D21" s="32" t="inlineStr">
        <is>
          <t>수행중</t>
        </is>
      </c>
    </row>
    <row r="22">
      <c r="B22" s="10" t="inlineStr">
        <is>
          <t>소방대원 활동성 등 수행능력 지원을 위한 외골격 로보틱 슈트 개발</t>
        </is>
      </c>
      <c r="C22" s="32" t="inlineStr">
        <is>
          <t>2026.04~2028.12</t>
        </is>
      </c>
      <c r="D22" s="32" t="inlineStr">
        <is>
          <t>수행중</t>
        </is>
      </c>
    </row>
    <row r="24">
      <c r="B24" s="60" t="inlineStr">
        <is>
          <t>과거 수행 과제 (2024년 사업보고서 기준, 참고)</t>
        </is>
      </c>
    </row>
    <row r="25">
      <c r="B25" s="61" t="inlineStr">
        <is>
          <t>웨어러블 로봇의 헬스케어 시장 확장을 위한 비즈니스 인프라 개발</t>
        </is>
      </c>
      <c r="C25" s="62" t="inlineStr">
        <is>
          <t>2025.01~2025.12</t>
        </is>
      </c>
    </row>
    <row r="26">
      <c r="B26" s="61" t="inlineStr">
        <is>
          <t>코어리스 마이크로모터 제조기술 개발 및 성능 검증</t>
        </is>
      </c>
      <c r="C26" s="62" t="inlineStr">
        <is>
          <t>2024.10~2028.12</t>
        </is>
      </c>
    </row>
    <row r="27">
      <c r="B27" s="61" t="inlineStr">
        <is>
          <t>AI 기반 로봇을 위한 Sim-to-real 수준의 고토크-무저항 구동모듈 개발</t>
        </is>
      </c>
      <c r="C27" s="62" t="inlineStr">
        <is>
          <t>2024.07~2026.12</t>
        </is>
      </c>
    </row>
    <row r="28">
      <c r="B28" s="61" t="inlineStr">
        <is>
          <t>조선소 Yard 위보기 용접 보조용 스마트 웨어러블 슈트 제품화</t>
        </is>
      </c>
      <c r="C28" s="62" t="inlineStr">
        <is>
          <t>2024.07~2026.12</t>
        </is>
      </c>
    </row>
    <row r="29">
      <c r="B29" s="61" t="inlineStr">
        <is>
          <t>가정과 일상 헬스케어 시장을 위한 웨어러블 로봇 제품 및 서비스 플랫폼 개발</t>
        </is>
      </c>
      <c r="C29" s="62" t="inlineStr">
        <is>
          <t>2022.04~2025.12</t>
        </is>
      </c>
    </row>
    <row r="30">
      <c r="B30" s="61" t="inlineStr">
        <is>
          <t>착용형 보행보조로봇 기반 재택 보행 재활 서비스 모델 개발 및 실증</t>
        </is>
      </c>
      <c r="C30" s="62" t="inlineStr">
        <is>
          <t>2023.07~2025.12</t>
        </is>
      </c>
    </row>
    <row r="32">
      <c r="A32" s="30" t="inlineStr">
        <is>
          <t>출처: SK증권 기업분석(2025.05.29), 2024년 사업보고서 기준</t>
        </is>
      </c>
    </row>
  </sheetData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tabColor rgb="00002060"/>
    <outlinePr summaryBelow="1" summaryRight="1"/>
    <pageSetUpPr/>
  </sheetPr>
  <dimension ref="A2:E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30" customWidth="1" min="4" max="4"/>
    <col width="20" customWidth="1" min="5" max="5"/>
  </cols>
  <sheetData>
    <row r="2">
      <c r="A2" s="15" t="inlineStr">
        <is>
          <t>해외 인허가 및 기술 검증 이력</t>
        </is>
      </c>
    </row>
    <row r="3">
      <c r="A3" s="4" t="inlineStr">
        <is>
          <t>출처: 제10기 반기보고서 연혁, 리딩투자증권(2025.12.16)</t>
        </is>
      </c>
    </row>
    <row r="5">
      <c r="B5" s="16" t="inlineStr">
        <is>
          <t>해외 인허가 현황</t>
        </is>
      </c>
    </row>
    <row r="6">
      <c r="B6" s="6" t="inlineStr">
        <is>
          <t>국가/지역</t>
        </is>
      </c>
      <c r="C6" s="6" t="inlineStr">
        <is>
          <t>규제기관</t>
        </is>
      </c>
      <c r="D6" s="6" t="inlineStr">
        <is>
          <t>대상 제품</t>
        </is>
      </c>
      <c r="E6" s="6" t="inlineStr">
        <is>
          <t>현황</t>
        </is>
      </c>
    </row>
    <row r="7">
      <c r="B7" s="63" t="inlineStr">
        <is>
          <t>태국</t>
        </is>
      </c>
      <c r="C7" s="53" t="inlineStr">
        <is>
          <t>TFDA</t>
        </is>
      </c>
      <c r="D7" s="53" t="inlineStr">
        <is>
          <t>엔젤렉스 M20</t>
        </is>
      </c>
      <c r="E7" s="53" t="inlineStr">
        <is>
          <t>2025.06 인증 획득</t>
        </is>
      </c>
    </row>
    <row r="8">
      <c r="B8" s="63" t="inlineStr">
        <is>
          <t>베트남</t>
        </is>
      </c>
      <c r="C8" s="53" t="inlineStr">
        <is>
          <t>보건복지부(MOH)</t>
        </is>
      </c>
      <c r="D8" s="53" t="inlineStr">
        <is>
          <t>엔젤렉스 M20 / angel SUIT H10</t>
        </is>
      </c>
      <c r="E8" s="53" t="inlineStr">
        <is>
          <t>2025.07 인증 획득</t>
        </is>
      </c>
    </row>
    <row r="9">
      <c r="B9" s="63" t="inlineStr">
        <is>
          <t>말레이시아</t>
        </is>
      </c>
      <c r="C9" s="53" t="inlineStr">
        <is>
          <t>의료기기청(MDA)</t>
        </is>
      </c>
      <c r="D9" s="53" t="inlineStr">
        <is>
          <t>엔젤렉스 M20</t>
        </is>
      </c>
      <c r="E9" s="53" t="inlineStr">
        <is>
          <t>2025.12 인증 → 2026.01 공식 출시</t>
        </is>
      </c>
    </row>
    <row r="10">
      <c r="B10" s="63" t="inlineStr">
        <is>
          <t>말레이시아 UiTM</t>
        </is>
      </c>
      <c r="C10" s="53" t="inlineStr">
        <is>
          <t>의과대학</t>
        </is>
      </c>
      <c r="D10" s="53" t="inlineStr">
        <is>
          <t>임상 협력</t>
        </is>
      </c>
      <c r="E10" s="53" t="inlineStr">
        <is>
          <t>2022.05 전략적 협약(MOA)</t>
        </is>
      </c>
    </row>
    <row r="11">
      <c r="B11" s="63" t="inlineStr">
        <is>
          <t>인도네시아·싱가포르</t>
        </is>
      </c>
      <c r="C11" s="53" t="inlineStr">
        <is>
          <t>각국 규제기관</t>
        </is>
      </c>
      <c r="D11" s="53" t="inlineStr">
        <is>
          <t>엔젤렉스 M20 외</t>
        </is>
      </c>
      <c r="E11" s="53" t="inlineStr">
        <is>
          <t>진행 중</t>
        </is>
      </c>
    </row>
    <row r="12">
      <c r="B12" s="63" t="inlineStr">
        <is>
          <t>유럽</t>
        </is>
      </c>
      <c r="C12" s="53" t="inlineStr">
        <is>
          <t>CE MDR</t>
        </is>
      </c>
      <c r="D12" s="53" t="inlineStr">
        <is>
          <t>엔젤렉스 M20 외</t>
        </is>
      </c>
      <c r="E12" s="53" t="inlineStr">
        <is>
          <t>지연 중</t>
        </is>
      </c>
    </row>
    <row r="13">
      <c r="B13" s="63" t="inlineStr">
        <is>
          <t>미국</t>
        </is>
      </c>
      <c r="C13" s="53" t="inlineStr">
        <is>
          <t>FDA</t>
        </is>
      </c>
      <c r="D13" s="53" t="inlineStr">
        <is>
          <t>angel GEAR (ANGEL X)</t>
        </is>
      </c>
      <c r="E13" s="53" t="inlineStr">
        <is>
          <t>2022.12 등록 완료</t>
        </is>
      </c>
    </row>
    <row r="14">
      <c r="B14" s="63" t="inlineStr">
        <is>
          <t>미국</t>
        </is>
      </c>
      <c r="C14" s="53" t="inlineStr">
        <is>
          <t>FDA</t>
        </is>
      </c>
      <c r="D14" s="53" t="inlineStr">
        <is>
          <t>의료기기 라인</t>
        </is>
      </c>
      <c r="E14" s="53" t="inlineStr">
        <is>
          <t>단계적 추진</t>
        </is>
      </c>
    </row>
    <row r="15">
      <c r="A15" s="30" t="inlineStr">
        <is>
          <t>주) 말레이시아 의료기기 시장은 2027년까지 약 27억 달러 규모로 성장 전망 (리딩투자증권)</t>
        </is>
      </c>
    </row>
    <row r="18">
      <c r="B18" s="16" t="inlineStr">
        <is>
          <t>기술 검증 이력</t>
        </is>
      </c>
    </row>
    <row r="19">
      <c r="B19" s="6" t="inlineStr">
        <is>
          <t>시기</t>
        </is>
      </c>
      <c r="C19" s="6" t="inlineStr">
        <is>
          <t>구분</t>
        </is>
      </c>
      <c r="D19" s="6" t="inlineStr">
        <is>
          <t>내용</t>
        </is>
      </c>
      <c r="E19" s="6" t="inlineStr"/>
    </row>
    <row r="20">
      <c r="B20" s="63" t="inlineStr">
        <is>
          <t>2018.02</t>
        </is>
      </c>
      <c r="C20" s="53" t="inlineStr">
        <is>
          <t>행사</t>
        </is>
      </c>
      <c r="D20" s="53" t="inlineStr">
        <is>
          <t>워크온슈트 평창 패럴림픽 성화봉송 지원</t>
        </is>
      </c>
      <c r="E20" s="53" t="inlineStr"/>
    </row>
    <row r="21">
      <c r="B21" s="63" t="inlineStr">
        <is>
          <t>2018.12</t>
        </is>
      </c>
      <c r="C21" s="53" t="inlineStr">
        <is>
          <t>수상</t>
        </is>
      </c>
      <c r="D21" s="53" t="inlineStr">
        <is>
          <t>2018 올해의 대한민국 로봇기업</t>
        </is>
      </c>
      <c r="E21" s="53" t="inlineStr"/>
    </row>
    <row r="22">
      <c r="B22" s="63" t="inlineStr">
        <is>
          <t>2020.11</t>
        </is>
      </c>
      <c r="C22" s="53" t="inlineStr">
        <is>
          <t>수상</t>
        </is>
      </c>
      <c r="D22" s="53" t="inlineStr">
        <is>
          <t>제2회 사이배슬론 전동형 외골격 금메달·동메달</t>
        </is>
      </c>
      <c r="E22" s="53" t="inlineStr"/>
    </row>
    <row r="23">
      <c r="B23" s="63" t="inlineStr">
        <is>
          <t>2022.10</t>
        </is>
      </c>
      <c r="C23" s="53" t="inlineStr">
        <is>
          <t>선정</t>
        </is>
      </c>
      <c r="D23" s="53" t="inlineStr">
        <is>
          <t>국가연구개발 우수성과 100선 (과학기술정보통신부)</t>
        </is>
      </c>
      <c r="E23" s="53" t="inlineStr"/>
    </row>
    <row r="24">
      <c r="B24" s="63" t="inlineStr">
        <is>
          <t>2023.02</t>
        </is>
      </c>
      <c r="C24" s="53" t="inlineStr">
        <is>
          <t>선정</t>
        </is>
      </c>
      <c r="D24" s="53" t="inlineStr">
        <is>
          <t>산업통상자원부 기계·장비·로봇 분야 R&amp;D 우수성과</t>
        </is>
      </c>
      <c r="E24" s="53" t="inlineStr"/>
    </row>
    <row r="25">
      <c r="B25" s="63" t="inlineStr">
        <is>
          <t>2023.12</t>
        </is>
      </c>
      <c r="C25" s="53" t="inlineStr">
        <is>
          <t>선정</t>
        </is>
      </c>
      <c r="D25" s="53" t="inlineStr">
        <is>
          <t>산업통상자원부 산업기술 대표 성과 10선 (워크온슈트)</t>
        </is>
      </c>
      <c r="E25" s="53" t="inlineStr"/>
    </row>
    <row r="26">
      <c r="B26" s="63" t="inlineStr">
        <is>
          <t>2024.06</t>
        </is>
      </c>
      <c r="C26" s="53" t="inlineStr">
        <is>
          <t>수상</t>
        </is>
      </c>
      <c r="D26" s="53" t="inlineStr">
        <is>
          <t>angel GEAR 독일 레드닷 디자인 어워드</t>
        </is>
      </c>
      <c r="E26" s="53" t="inlineStr"/>
    </row>
    <row r="27">
      <c r="B27" s="63" t="inlineStr">
        <is>
          <t>2024.07</t>
        </is>
      </c>
      <c r="C27" s="53" t="inlineStr">
        <is>
          <t>논문</t>
        </is>
      </c>
      <c r="D27" s="53" t="inlineStr">
        <is>
          <t>JAMA Network Open 게재 (뇌성마비 아동 90명 임상)</t>
        </is>
      </c>
      <c r="E27" s="53" t="inlineStr"/>
    </row>
    <row r="28">
      <c r="B28" s="63" t="inlineStr">
        <is>
          <t>2024.10</t>
        </is>
      </c>
      <c r="C28" s="53" t="inlineStr">
        <is>
          <t>수상</t>
        </is>
      </c>
      <c r="D28" s="53" t="inlineStr">
        <is>
          <t>제3회 사이배슬론 전동형 외골격 금메달 (2연패)</t>
        </is>
      </c>
      <c r="E28" s="53" t="inlineStr"/>
    </row>
    <row r="29">
      <c r="B29" s="63" t="inlineStr">
        <is>
          <t>-</t>
        </is>
      </c>
      <c r="C29" s="53" t="inlineStr">
        <is>
          <t>논문</t>
        </is>
      </c>
      <c r="D29" s="53" t="inlineStr">
        <is>
          <t>Stroke (IF 8.9) 게재 (급성기 뇌졸중 160명 다기관 RCT)</t>
        </is>
      </c>
      <c r="E29" s="53" t="inlineStr"/>
    </row>
    <row r="30">
      <c r="B30" s="63" t="inlineStr">
        <is>
          <t>2025.12</t>
        </is>
      </c>
      <c r="C30" s="53" t="inlineStr">
        <is>
          <t>수상</t>
        </is>
      </c>
      <c r="D30" s="53" t="inlineStr">
        <is>
          <t>범부처 의료기기 R&amp;D 어워즈 한국연구재단 이사장상</t>
        </is>
      </c>
      <c r="E30" s="53" t="inlineStr"/>
    </row>
    <row r="31">
      <c r="B31" s="63" t="inlineStr">
        <is>
          <t>2026.03</t>
        </is>
      </c>
      <c r="C31" s="53" t="inlineStr">
        <is>
          <t>선정</t>
        </is>
      </c>
      <c r="D31" s="53" t="inlineStr">
        <is>
          <t>파이낸셜타임즈 아시아태평양 고성장 기업 500</t>
        </is>
      </c>
      <c r="E31" s="53" t="inlineStr"/>
    </row>
    <row r="33">
      <c r="B33" s="43" t="inlineStr">
        <is>
          <t>특허 출원</t>
        </is>
      </c>
      <c r="C33" s="64" t="n">
        <v>75</v>
      </c>
      <c r="D33" s="65" t="inlineStr">
        <is>
          <t>건</t>
        </is>
      </c>
    </row>
    <row r="34">
      <c r="B34" s="43" t="inlineStr">
        <is>
          <t>임상 케이스 논문</t>
        </is>
      </c>
      <c r="C34" s="64" t="n">
        <v>10</v>
      </c>
      <c r="D34" s="65" t="inlineStr">
        <is>
          <t>편</t>
        </is>
      </c>
    </row>
    <row r="35">
      <c r="A35" s="30" t="inlineStr">
        <is>
          <t>핵심특허: 보행 의도 파악(10-1317354) / 정밀 힘 제어(10-1477401) / 보행 주기별 제어(10-2162485)</t>
        </is>
      </c>
    </row>
    <row r="36">
      <c r="A36" s="30" t="inlineStr">
        <is>
          <t>출처: 한국IR협의회 기업리서치센터(2024.09.26), 제10기 반기보고서</t>
        </is>
      </c>
    </row>
  </sheetData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tabColor rgb="00002060"/>
    <outlinePr summaryBelow="1" summaryRight="1"/>
    <pageSetUpPr/>
  </sheetPr>
  <dimension ref="A2:G5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2">
      <c r="A2" s="15" t="inlineStr">
        <is>
          <t>시장 규모 및 산업 구조</t>
        </is>
      </c>
    </row>
    <row r="3">
      <c r="A3" s="4" t="inlineStr">
        <is>
          <t>⚠️ 조사기관별 편차가 크므로 기준기관 미확정 상태</t>
        </is>
      </c>
    </row>
    <row r="5">
      <c r="B5" s="16" t="inlineStr">
        <is>
          <t>글로벌 시장 규모</t>
        </is>
      </c>
    </row>
    <row r="6">
      <c r="B6" s="6" t="inlineStr">
        <is>
          <t>구분</t>
        </is>
      </c>
      <c r="C6" s="6" t="inlineStr">
        <is>
          <t>기준연도</t>
        </is>
      </c>
      <c r="D6" s="6" t="inlineStr">
        <is>
          <t>규모</t>
        </is>
      </c>
      <c r="E6" s="6" t="inlineStr">
        <is>
          <t>전망연도</t>
        </is>
      </c>
      <c r="F6" s="6" t="inlineStr">
        <is>
          <t>규모</t>
        </is>
      </c>
      <c r="G6" s="6" t="inlineStr">
        <is>
          <t>CAGR / 출처</t>
        </is>
      </c>
    </row>
    <row r="7">
      <c r="B7" s="63" t="inlineStr">
        <is>
          <t>의료용 로봇</t>
        </is>
      </c>
      <c r="C7" s="53" t="inlineStr">
        <is>
          <t>2022년</t>
        </is>
      </c>
      <c r="D7" s="53" t="inlineStr">
        <is>
          <t>116.6억 USD</t>
        </is>
      </c>
      <c r="E7" s="53" t="inlineStr">
        <is>
          <t>2030년</t>
        </is>
      </c>
      <c r="F7" s="53" t="inlineStr">
        <is>
          <t>722.2억 USD</t>
        </is>
      </c>
      <c r="G7" s="53" t="inlineStr">
        <is>
          <t>+25.60% / GII</t>
        </is>
      </c>
    </row>
    <row r="8">
      <c r="B8" s="63" t="inlineStr">
        <is>
          <t>재활로봇</t>
        </is>
      </c>
      <c r="C8" s="53" t="inlineStr">
        <is>
          <t>2023년</t>
        </is>
      </c>
      <c r="D8" s="53" t="inlineStr">
        <is>
          <t>8.63억 USD</t>
        </is>
      </c>
      <c r="E8" s="53" t="inlineStr">
        <is>
          <t>2028년</t>
        </is>
      </c>
      <c r="F8" s="53" t="inlineStr">
        <is>
          <t>46.40억 USD</t>
        </is>
      </c>
      <c r="G8" s="53" t="inlineStr">
        <is>
          <t>+39.98% / technavio</t>
        </is>
      </c>
    </row>
    <row r="9">
      <c r="B9" s="63" t="inlineStr">
        <is>
          <t>외골격 웨어러블 로봇</t>
        </is>
      </c>
      <c r="C9" s="53" t="inlineStr">
        <is>
          <t>2026년</t>
        </is>
      </c>
      <c r="D9" s="53" t="inlineStr">
        <is>
          <t>13.6억 USD</t>
        </is>
      </c>
      <c r="E9" s="53" t="inlineStr">
        <is>
          <t>2034년</t>
        </is>
      </c>
      <c r="F9" s="53" t="inlineStr">
        <is>
          <t>69.5억 USD</t>
        </is>
      </c>
      <c r="G9" s="53" t="inlineStr">
        <is>
          <t>+27.3% / Fortune Business Insights</t>
        </is>
      </c>
    </row>
    <row r="10">
      <c r="B10" s="63" t="inlineStr">
        <is>
          <t>군용 로봇</t>
        </is>
      </c>
      <c r="C10" s="53" t="inlineStr">
        <is>
          <t>2026년</t>
        </is>
      </c>
      <c r="D10" s="53" t="inlineStr">
        <is>
          <t>216억 USD</t>
        </is>
      </c>
      <c r="E10" s="53" t="inlineStr">
        <is>
          <t>2034년</t>
        </is>
      </c>
      <c r="F10" s="53" t="inlineStr">
        <is>
          <t>429억 USD</t>
        </is>
      </c>
      <c r="G10" s="53" t="inlineStr">
        <is>
          <t>+8.96% / 시장조사기관</t>
        </is>
      </c>
    </row>
    <row r="11">
      <c r="A11" s="66" t="inlineStr">
        <is>
          <t>⚠️ 재활로봇 CAGR은 기관별로 14.1%~46.6%까지 편차가 있어 본문 인용 시 기준기관 확정 필요</t>
        </is>
      </c>
    </row>
    <row r="14">
      <c r="B14" s="16" t="inlineStr">
        <is>
          <t>국내 시장</t>
        </is>
      </c>
    </row>
    <row r="15">
      <c r="B15" s="6" t="inlineStr">
        <is>
          <t>구분</t>
        </is>
      </c>
      <c r="C15" s="6" t="inlineStr">
        <is>
          <t>수치</t>
        </is>
      </c>
      <c r="D15" s="6" t="inlineStr">
        <is>
          <t>기준</t>
        </is>
      </c>
      <c r="E15" s="6" t="inlineStr">
        <is>
          <t>출처</t>
        </is>
      </c>
      <c r="F15" s="6" t="inlineStr"/>
    </row>
    <row r="16">
      <c r="B16" s="63" t="inlineStr">
        <is>
          <t>국내 로봇산업 매출</t>
        </is>
      </c>
      <c r="C16" s="53" t="inlineStr">
        <is>
          <t>6조 1,695억원</t>
        </is>
      </c>
      <c r="D16" s="53" t="inlineStr">
        <is>
          <t>2024년</t>
        </is>
      </c>
      <c r="E16" s="53" t="inlineStr">
        <is>
          <t>한국로봇산업진흥원 로봇산업 실태조사 (정부승인통계)</t>
        </is>
      </c>
      <c r="F16" s="53" t="inlineStr"/>
    </row>
    <row r="17">
      <c r="B17" s="63" t="inlineStr">
        <is>
          <t>국내 웨어러블 로봇 시장 CAGR</t>
        </is>
      </c>
      <c r="C17" s="53" t="inlineStr">
        <is>
          <t>42.6%</t>
        </is>
      </c>
      <c r="D17" s="53" t="inlineStr">
        <is>
          <t>2023~2030년</t>
        </is>
      </c>
      <c r="E17" s="53" t="inlineStr">
        <is>
          <t>엔젤로보틱스 IR Book / 유진투자증권</t>
        </is>
      </c>
      <c r="F17" s="53" t="inlineStr"/>
    </row>
    <row r="18">
      <c r="B18" s="63" t="inlineStr">
        <is>
          <t>용도별 구성 (국내)</t>
        </is>
      </c>
      <c r="C18" s="53" t="inlineStr">
        <is>
          <t>의료 42% / 산업 23% / 기타 35%</t>
        </is>
      </c>
      <c r="D18" s="53" t="inlineStr">
        <is>
          <t>-</t>
        </is>
      </c>
      <c r="E18" s="53" t="inlineStr">
        <is>
          <t>리딩투자증권</t>
        </is>
      </c>
      <c r="F18" s="53" t="inlineStr"/>
    </row>
    <row r="19">
      <c r="B19" s="63" t="inlineStr">
        <is>
          <t>용도별 구성 (해외)</t>
        </is>
      </c>
      <c r="C19" s="53" t="inlineStr">
        <is>
          <t>의료 42% / 산업 22% / 기타 36%</t>
        </is>
      </c>
      <c r="D19" s="53" t="inlineStr">
        <is>
          <t>-</t>
        </is>
      </c>
      <c r="E19" s="53" t="inlineStr">
        <is>
          <t>리딩투자증권</t>
        </is>
      </c>
      <c r="F19" s="53" t="inlineStr"/>
    </row>
    <row r="22">
      <c r="B22" s="16" t="inlineStr">
        <is>
          <t>국내 재활 웨어러블 로봇 시장점유율 (2023년)</t>
        </is>
      </c>
    </row>
    <row r="23">
      <c r="B23" s="6" t="inlineStr">
        <is>
          <t>구분</t>
        </is>
      </c>
      <c r="C23" s="6" t="inlineStr">
        <is>
          <t>엔젤로보틱스</t>
        </is>
      </c>
      <c r="D23" s="6" t="inlineStr">
        <is>
          <t>D사</t>
        </is>
      </c>
      <c r="E23" s="6" t="inlineStr">
        <is>
          <t>F사</t>
        </is>
      </c>
      <c r="F23" s="6" t="inlineStr">
        <is>
          <t>E사</t>
        </is>
      </c>
      <c r="G23" s="6" t="inlineStr">
        <is>
          <t>합계</t>
        </is>
      </c>
    </row>
    <row r="24">
      <c r="B24" s="43" t="inlineStr">
        <is>
          <t>시장점유율</t>
        </is>
      </c>
      <c r="C24" s="67" t="n">
        <v>0.5600000000000001</v>
      </c>
      <c r="D24" s="67" t="n">
        <v>0.21</v>
      </c>
      <c r="E24" s="67" t="n">
        <v>0.1</v>
      </c>
      <c r="F24" s="67" t="n">
        <v>0.07000000000000001</v>
      </c>
      <c r="G24" s="45">
        <f>SUM(C24:F24)</f>
        <v/>
      </c>
    </row>
    <row r="25">
      <c r="A25" s="30" t="inlineStr">
        <is>
          <t>출처: 엔젤로보틱스, 한국IR협의회 기업리서치센터 / ⚠️ 경쟁사 실명 미상, 2023년 기준</t>
        </is>
      </c>
    </row>
    <row r="28">
      <c r="B28" s="16" t="inlineStr">
        <is>
          <t>침투율 및 잠재 시장</t>
        </is>
      </c>
    </row>
    <row r="29">
      <c r="B29" s="6" t="inlineStr">
        <is>
          <t>구분</t>
        </is>
      </c>
      <c r="C29" s="6" t="inlineStr">
        <is>
          <t>수치</t>
        </is>
      </c>
      <c r="D29" s="6" t="inlineStr">
        <is>
          <t>의미</t>
        </is>
      </c>
      <c r="E29" s="6" t="inlineStr">
        <is>
          <t>출처</t>
        </is>
      </c>
      <c r="F29" s="6" t="inlineStr"/>
    </row>
    <row r="30">
      <c r="B30" s="63" t="inlineStr">
        <is>
          <t>재활전문기관 보행재활로봇 보유율</t>
        </is>
      </c>
      <c r="C30" s="53" t="inlineStr">
        <is>
          <t>8%</t>
        </is>
      </c>
      <c r="D30" s="53" t="inlineStr">
        <is>
          <t>시장 개화 초기 단계</t>
        </is>
      </c>
      <c r="E30" s="53" t="inlineStr">
        <is>
          <t>엔젤로보틱스 IR Book / 유진투자증권</t>
        </is>
      </c>
      <c r="F30" s="53" t="inlineStr"/>
    </row>
    <row r="31">
      <c r="B31" s="63" t="inlineStr">
        <is>
          <t>수익시장 내 침투율</t>
        </is>
      </c>
      <c r="C31" s="53" t="inlineStr">
        <is>
          <t>2.5%</t>
        </is>
      </c>
      <c r="D31" s="53" t="inlineStr">
        <is>
          <t>잔여 시장이 40배 규모</t>
        </is>
      </c>
      <c r="E31" s="53" t="inlineStr">
        <is>
          <t>엔젤로보틱스 IR Book / 유진투자증권</t>
        </is>
      </c>
      <c r="F31" s="53" t="inlineStr"/>
    </row>
    <row r="32">
      <c r="B32" s="63" t="inlineStr">
        <is>
          <t>소아 뇌성마비 환자 수</t>
        </is>
      </c>
      <c r="C32" s="53" t="inlineStr">
        <is>
          <t>약 8만명</t>
        </is>
      </c>
      <c r="D32" s="53" t="inlineStr">
        <is>
          <t>수가 적응증 확대 시 개방</t>
        </is>
      </c>
      <c r="E32" s="53" t="inlineStr">
        <is>
          <t>엔젤로보틱스 IR Book / 유진투자증권</t>
        </is>
      </c>
      <c r="F32" s="53" t="inlineStr"/>
    </row>
    <row r="33">
      <c r="B33" s="63" t="inlineStr">
        <is>
          <t>병원 구매비용 회수기간</t>
        </is>
      </c>
      <c r="C33" s="53" t="inlineStr">
        <is>
          <t>일반병원 1.3년 / 회복기재활병원 0.9년</t>
        </is>
      </c>
      <c r="D33" s="53" t="inlineStr">
        <is>
          <t>교체주기 5년 대비 조기 회수</t>
        </is>
      </c>
      <c r="E33" s="53" t="inlineStr">
        <is>
          <t>한국IR협의회</t>
        </is>
      </c>
      <c r="F33" s="53" t="inlineStr"/>
    </row>
    <row r="36">
      <c r="B36" s="16" t="inlineStr">
        <is>
          <t>수가 체계 및 산업 구조</t>
        </is>
      </c>
    </row>
    <row r="37">
      <c r="B37" s="6" t="inlineStr">
        <is>
          <t>구분</t>
        </is>
      </c>
      <c r="C37" s="6" t="inlineStr">
        <is>
          <t>내용</t>
        </is>
      </c>
      <c r="D37" s="6" t="inlineStr"/>
      <c r="E37" s="6" t="inlineStr"/>
    </row>
    <row r="38">
      <c r="B38" s="63" t="inlineStr">
        <is>
          <t>급여화 시점</t>
        </is>
      </c>
      <c r="C38" s="53" t="inlineStr">
        <is>
          <t>2022년 2월 보행재활로봇 건강보험 급여화 적용</t>
        </is>
      </c>
      <c r="D38" s="53" t="inlineStr"/>
      <c r="E38" s="53" t="inlineStr"/>
    </row>
    <row r="39">
      <c r="B39" s="63" t="inlineStr">
        <is>
          <t>적용 대상</t>
        </is>
      </c>
      <c r="C39" s="53" t="inlineStr">
        <is>
          <t>발병 6개월 이내 뇌졸중 환자 (FAC 2등급 이하), 로봇정형운동장치 3등급 보행로봇에 한함</t>
        </is>
      </c>
      <c r="D39" s="53" t="inlineStr"/>
      <c r="E39" s="53" t="inlineStr"/>
    </row>
    <row r="40">
      <c r="B40" s="63" t="inlineStr">
        <is>
          <t>수가 코드</t>
        </is>
      </c>
      <c r="C40" s="53" t="inlineStr">
        <is>
          <t>로봇보행재활(MM304) / 보행치료(MM302) / 동작분석(EZ774)</t>
        </is>
      </c>
      <c r="D40" s="53" t="inlineStr"/>
      <c r="E40" s="53" t="inlineStr"/>
    </row>
    <row r="41">
      <c r="B41" s="63" t="inlineStr">
        <is>
          <t>산업 특성</t>
        </is>
      </c>
      <c r="C41" s="53" t="inlineStr">
        <is>
          <t>국산 재활로봇 다수가 신의료기술평가에서 '기존기술' 판정을 받아 별도 수가 미확보. 급여 미적용 시 환자 전액 부담으로 고가 장비 판매가 사실상 곤란</t>
        </is>
      </c>
      <c r="D41" s="53" t="inlineStr"/>
      <c r="E41" s="53" t="inlineStr"/>
    </row>
    <row r="42">
      <c r="B42" s="63" t="inlineStr">
        <is>
          <t>정책 방향</t>
        </is>
      </c>
      <c r="C42" s="53" t="inlineStr">
        <is>
          <t>보건복지부, 척수손상·파킨슨 등으로 수가 적응증 확대 추진</t>
        </is>
      </c>
      <c r="D42" s="53" t="inlineStr"/>
      <c r="E42" s="53" t="inlineStr"/>
    </row>
    <row r="43">
      <c r="B43" s="63" t="inlineStr">
        <is>
          <t>상반된 흐름</t>
        </is>
      </c>
      <c r="C43" s="53" t="inlineStr">
        <is>
          <t>산업안전 분야는 '스마트 안전장비 보급확산' 예산 감소로 B2G 시장 축소</t>
        </is>
      </c>
      <c r="D43" s="53" t="inlineStr"/>
      <c r="E43" s="53" t="inlineStr"/>
    </row>
    <row r="46">
      <c r="B46" s="16" t="inlineStr">
        <is>
          <t>국내외 경쟁사</t>
        </is>
      </c>
    </row>
    <row r="47">
      <c r="B47" s="6" t="inlineStr">
        <is>
          <t>구분</t>
        </is>
      </c>
      <c r="C47" s="6" t="inlineStr">
        <is>
          <t>기업</t>
        </is>
      </c>
      <c r="D47" s="6" t="inlineStr">
        <is>
          <t>설립/상장</t>
        </is>
      </c>
      <c r="E47" s="6" t="inlineStr">
        <is>
          <t>비고</t>
        </is>
      </c>
      <c r="F47" s="6" t="inlineStr"/>
    </row>
    <row r="48">
      <c r="B48" s="63" t="inlineStr">
        <is>
          <t>국내 상장</t>
        </is>
      </c>
      <c r="C48" s="53" t="inlineStr">
        <is>
          <t>피앤에스로보틱스 (460940)</t>
        </is>
      </c>
      <c r="D48" s="53" t="inlineStr">
        <is>
          <t>2003년 설립 / 2024.07 상장</t>
        </is>
      </c>
      <c r="E48" s="53" t="inlineStr">
        <is>
          <t>보행재활훈련 로봇 Walkbot (트레드밀 기반 고정형)</t>
        </is>
      </c>
      <c r="F48" s="53" t="inlineStr"/>
    </row>
    <row r="49">
      <c r="B49" s="63" t="inlineStr">
        <is>
          <t>국내 비상장</t>
        </is>
      </c>
      <c r="C49" s="53" t="inlineStr">
        <is>
          <t>FRT로보틱스</t>
        </is>
      </c>
      <c r="D49" s="53" t="inlineStr">
        <is>
          <t>2015년</t>
        </is>
      </c>
      <c r="E49" s="53" t="inlineStr">
        <is>
          <t>웨어러블 로봇</t>
        </is>
      </c>
      <c r="F49" s="53" t="inlineStr"/>
    </row>
    <row r="50">
      <c r="B50" s="63" t="inlineStr">
        <is>
          <t>국내 비상장</t>
        </is>
      </c>
      <c r="C50" s="53" t="inlineStr">
        <is>
          <t>헥사휴먼케어</t>
        </is>
      </c>
      <c r="D50" s="53" t="inlineStr">
        <is>
          <t>2016년</t>
        </is>
      </c>
      <c r="E50" s="53" t="inlineStr">
        <is>
          <t>웨어러블 로봇</t>
        </is>
      </c>
      <c r="F50" s="53" t="inlineStr"/>
    </row>
    <row r="51">
      <c r="B51" s="63" t="inlineStr">
        <is>
          <t>국내 비상장</t>
        </is>
      </c>
      <c r="C51" s="53" t="inlineStr">
        <is>
          <t>코스모로보틱스</t>
        </is>
      </c>
      <c r="D51" s="53" t="inlineStr">
        <is>
          <t>2016년</t>
        </is>
      </c>
      <c r="E51" s="53" t="inlineStr">
        <is>
          <t>웨어러블 로봇</t>
        </is>
      </c>
      <c r="F51" s="53" t="inlineStr"/>
    </row>
    <row r="52">
      <c r="B52" s="63" t="inlineStr">
        <is>
          <t>해외 상장</t>
        </is>
      </c>
      <c r="C52" s="53" t="inlineStr">
        <is>
          <t>라이프워드 (구 리워크, 나스닥)</t>
        </is>
      </c>
      <c r="D52" s="53" t="inlineStr">
        <is>
          <t>이스라엘</t>
        </is>
      </c>
      <c r="E52" s="53" t="inlineStr">
        <is>
          <t>2014.06 FDA 하지 외골격로봇 허가</t>
        </is>
      </c>
      <c r="F52" s="53" t="inlineStr"/>
    </row>
    <row r="53">
      <c r="B53" s="63" t="inlineStr">
        <is>
          <t>해외 상장</t>
        </is>
      </c>
      <c r="C53" s="53" t="inlineStr">
        <is>
          <t>Ekso Bionics (나스닥)</t>
        </is>
      </c>
      <c r="D53" s="53" t="inlineStr">
        <is>
          <t>미국</t>
        </is>
      </c>
      <c r="E53" s="53" t="inlineStr">
        <is>
          <t>Ekso GT 척수손상·뇌졸중 FDA 허가</t>
        </is>
      </c>
      <c r="F53" s="53" t="inlineStr"/>
    </row>
    <row r="54">
      <c r="B54" s="63" t="inlineStr">
        <is>
          <t>해외</t>
        </is>
      </c>
      <c r="C54" s="53" t="inlineStr">
        <is>
          <t>사이버다인</t>
        </is>
      </c>
      <c r="D54" s="53" t="inlineStr">
        <is>
          <t>일본</t>
        </is>
      </c>
      <c r="E54" s="53" t="inlineStr">
        <is>
          <t>HAL 시리즈</t>
        </is>
      </c>
      <c r="F54" s="53" t="inlineStr"/>
    </row>
    <row r="55">
      <c r="A55" s="30" t="inlineStr">
        <is>
          <t>참고) 세브란스 재활병원은 7개 재활로봇을 보유하고 보행재활을 5단계로 운영하며, 엔젤렉스는 회복이 가장 진행된 5단계에 배치</t>
        </is>
      </c>
    </row>
  </sheetData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tabColor rgb="00002060"/>
    <outlinePr summaryBelow="1" summaryRight="1"/>
    <pageSetUpPr/>
  </sheetPr>
  <dimension ref="A2:H4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A2" s="15" t="inlineStr">
        <is>
          <t>주가 추이 및 밸류에이션</t>
        </is>
      </c>
    </row>
    <row r="3">
      <c r="A3" s="4" t="inlineStr">
        <is>
          <t>출처: 제10기 반기보고서 「주가 및 주식거래실적」, 유진투자증권 IPO 분석(2024.03)</t>
        </is>
      </c>
    </row>
    <row r="5">
      <c r="B5" s="16" t="inlineStr">
        <is>
          <t>2026년 상반기 월별 주가 및 거래실적</t>
        </is>
      </c>
    </row>
    <row r="6">
      <c r="B6" s="6" t="inlineStr">
        <is>
          <t>구분</t>
        </is>
      </c>
      <c r="C6" s="6" t="inlineStr">
        <is>
          <t>2026.01</t>
        </is>
      </c>
      <c r="D6" s="6" t="inlineStr">
        <is>
          <t>2026.02</t>
        </is>
      </c>
      <c r="E6" s="6" t="inlineStr">
        <is>
          <t>2026.03</t>
        </is>
      </c>
      <c r="F6" s="6" t="inlineStr">
        <is>
          <t>2026.04</t>
        </is>
      </c>
      <c r="G6" s="6" t="inlineStr">
        <is>
          <t>2026.05</t>
        </is>
      </c>
      <c r="H6" s="6" t="inlineStr">
        <is>
          <t>2026.06</t>
        </is>
      </c>
    </row>
    <row r="7">
      <c r="B7" s="10" t="inlineStr">
        <is>
          <t>월별 최고가(원)</t>
        </is>
      </c>
      <c r="C7" s="55" t="n">
        <v>39500</v>
      </c>
      <c r="D7" s="55" t="n">
        <v>37200</v>
      </c>
      <c r="E7" s="55" t="n">
        <v>30800</v>
      </c>
      <c r="F7" s="55" t="n">
        <v>30350</v>
      </c>
      <c r="G7" s="55" t="n">
        <v>30200</v>
      </c>
      <c r="H7" s="55" t="n">
        <v>31600</v>
      </c>
    </row>
    <row r="8">
      <c r="B8" s="10" t="inlineStr">
        <is>
          <t>월별 최저가(원)</t>
        </is>
      </c>
      <c r="C8" s="55" t="n">
        <v>28850</v>
      </c>
      <c r="D8" s="55" t="n">
        <v>33300</v>
      </c>
      <c r="E8" s="55" t="n">
        <v>24800</v>
      </c>
      <c r="F8" s="55" t="n">
        <v>25300</v>
      </c>
      <c r="G8" s="55" t="n">
        <v>25200</v>
      </c>
      <c r="H8" s="55" t="n">
        <v>18230</v>
      </c>
    </row>
    <row r="9">
      <c r="B9" s="43" t="inlineStr">
        <is>
          <t>평균주가(원)</t>
        </is>
      </c>
      <c r="C9" s="56" t="n">
        <v>34398</v>
      </c>
      <c r="D9" s="56" t="n">
        <v>34947</v>
      </c>
      <c r="E9" s="56" t="n">
        <v>27479</v>
      </c>
      <c r="F9" s="56" t="n">
        <v>28032</v>
      </c>
      <c r="G9" s="56" t="n">
        <v>27992</v>
      </c>
      <c r="H9" s="56" t="n">
        <v>23332</v>
      </c>
    </row>
    <row r="10">
      <c r="B10" s="10" t="inlineStr">
        <is>
          <t>월간 거래량(주)</t>
        </is>
      </c>
      <c r="C10" s="55" t="n">
        <v>14923873</v>
      </c>
      <c r="D10" s="55" t="n">
        <v>2611464</v>
      </c>
      <c r="E10" s="55" t="n">
        <v>1877342</v>
      </c>
      <c r="F10" s="55" t="n">
        <v>1338647</v>
      </c>
      <c r="G10" s="55" t="n">
        <v>1864844</v>
      </c>
      <c r="H10" s="55" t="n">
        <v>2861488</v>
      </c>
    </row>
    <row r="12">
      <c r="B12" s="10" t="inlineStr">
        <is>
          <t>시가총액(백만원)</t>
        </is>
      </c>
      <c r="C12" s="68">
        <f>C9*15392981/1000000</f>
        <v/>
      </c>
      <c r="D12" s="68">
        <f>D9*15392981/1000000</f>
        <v/>
      </c>
      <c r="E12" s="68">
        <f>E9*15392981/1000000</f>
        <v/>
      </c>
      <c r="F12" s="68">
        <f>F9*15392981/1000000</f>
        <v/>
      </c>
      <c r="G12" s="68">
        <f>G9*15392981/1000000</f>
        <v/>
      </c>
      <c r="H12" s="68">
        <f>H9*15392981/1000000</f>
        <v/>
      </c>
    </row>
    <row r="13">
      <c r="A13" s="30" t="inlineStr">
        <is>
          <t>주) 시가총액은 월 평균주가 × 발행주식총수 15,392,981주로 산출한 참고치</t>
        </is>
      </c>
    </row>
    <row r="16">
      <c r="B16" s="16" t="inlineStr">
        <is>
          <t>장기 주가 추이</t>
        </is>
      </c>
    </row>
    <row r="17">
      <c r="B17" s="6" t="inlineStr">
        <is>
          <t>시점</t>
        </is>
      </c>
      <c r="C17" s="6" t="inlineStr">
        <is>
          <t>주가(원)</t>
        </is>
      </c>
      <c r="D17" s="6" t="inlineStr">
        <is>
          <t>비고</t>
        </is>
      </c>
      <c r="E17" s="6" t="inlineStr"/>
      <c r="F17" s="6" t="inlineStr"/>
      <c r="G17" s="6" t="inlineStr"/>
    </row>
    <row r="18">
      <c r="B18" s="63" t="inlineStr">
        <is>
          <t>2024.03.26 (상장일)</t>
        </is>
      </c>
      <c r="C18" s="69" t="n">
        <v>65000</v>
      </c>
      <c r="D18" s="53" t="inlineStr">
        <is>
          <t>공모가 20,000원 / 시초가 50,500원</t>
        </is>
      </c>
      <c r="E18" s="53" t="inlineStr"/>
      <c r="F18" s="53" t="inlineStr"/>
      <c r="G18" s="53" t="inlineStr"/>
    </row>
    <row r="19">
      <c r="B19" s="63" t="inlineStr">
        <is>
          <t>2024.09.23</t>
        </is>
      </c>
      <c r="C19" s="69" t="n">
        <v>29850</v>
      </c>
      <c r="D19" s="53" t="inlineStr">
        <is>
          <t>상장일 종가 대비 -54% / 한국IR협의회 기준일</t>
        </is>
      </c>
      <c r="E19" s="53" t="inlineStr"/>
      <c r="F19" s="53" t="inlineStr"/>
      <c r="G19" s="53" t="inlineStr"/>
    </row>
    <row r="20">
      <c r="B20" s="63" t="inlineStr">
        <is>
          <t>2025.05.29</t>
        </is>
      </c>
      <c r="C20" s="69" t="n">
        <v>23350</v>
      </c>
      <c r="D20" s="53" t="inlineStr">
        <is>
          <t>SK증권 리포트 기준일</t>
        </is>
      </c>
      <c r="E20" s="53" t="inlineStr"/>
      <c r="F20" s="53" t="inlineStr"/>
      <c r="G20" s="53" t="inlineStr"/>
    </row>
    <row r="21">
      <c r="B21" s="63" t="inlineStr">
        <is>
          <t>2025.12.15</t>
        </is>
      </c>
      <c r="C21" s="69" t="n">
        <v>32850</v>
      </c>
      <c r="D21" s="53" t="inlineStr">
        <is>
          <t>리딩투자증권 기준일 / 시가총액 4,950억원</t>
        </is>
      </c>
      <c r="E21" s="53" t="inlineStr"/>
      <c r="F21" s="53" t="inlineStr"/>
      <c r="G21" s="53" t="inlineStr"/>
    </row>
    <row r="22">
      <c r="B22" s="63" t="inlineStr">
        <is>
          <t>2026.06 평균</t>
        </is>
      </c>
      <c r="C22" s="69" t="n">
        <v>23332</v>
      </c>
      <c r="D22" s="53" t="inlineStr">
        <is>
          <t>6월 최저 18,230원 (공모가 하회)</t>
        </is>
      </c>
      <c r="E22" s="53" t="inlineStr"/>
      <c r="F22" s="53" t="inlineStr"/>
      <c r="G22" s="53" t="inlineStr"/>
    </row>
    <row r="25">
      <c r="B25" s="16" t="inlineStr">
        <is>
          <t>상장 시 공모가 산정 내역</t>
        </is>
      </c>
    </row>
    <row r="26">
      <c r="B26" s="6" t="inlineStr">
        <is>
          <t>구분</t>
        </is>
      </c>
      <c r="C26" s="6" t="inlineStr">
        <is>
          <t>내용</t>
        </is>
      </c>
      <c r="D26" s="6" t="inlineStr"/>
      <c r="E26" s="6" t="inlineStr"/>
      <c r="F26" s="6" t="inlineStr"/>
      <c r="G26" s="6" t="inlineStr"/>
    </row>
    <row r="27">
      <c r="B27" s="63" t="inlineStr">
        <is>
          <t>비교기업</t>
        </is>
      </c>
      <c r="C27" s="53" t="inlineStr">
        <is>
          <t>㈜라온테크 PER 33.83배 / 삼익THK㈜ PER 40.90배 → 적용 PER 37.37배</t>
        </is>
      </c>
      <c r="D27" s="53" t="inlineStr"/>
      <c r="E27" s="53" t="inlineStr"/>
      <c r="F27" s="53" t="inlineStr"/>
      <c r="G27" s="53" t="inlineStr"/>
    </row>
    <row r="28">
      <c r="B28" s="63" t="inlineStr">
        <is>
          <t>적용 이익</t>
        </is>
      </c>
      <c r="C28" s="53" t="inlineStr">
        <is>
          <t>2026년 추정 당기순이익 11,450백만원</t>
        </is>
      </c>
      <c r="D28" s="53" t="inlineStr"/>
      <c r="E28" s="53" t="inlineStr"/>
      <c r="F28" s="53" t="inlineStr"/>
      <c r="G28" s="53" t="inlineStr"/>
    </row>
    <row r="29">
      <c r="B29" s="63" t="inlineStr">
        <is>
          <t>현가 환산</t>
        </is>
      </c>
      <c r="C29" s="53" t="inlineStr">
        <is>
          <t>연 할인율 15% 적용 → 2023년말 현가 7,529백만원</t>
        </is>
      </c>
      <c r="D29" s="53" t="inlineStr"/>
      <c r="E29" s="53" t="inlineStr"/>
      <c r="F29" s="53" t="inlineStr"/>
      <c r="G29" s="53" t="inlineStr"/>
    </row>
    <row r="30">
      <c r="B30" s="63" t="inlineStr">
        <is>
          <t>적용 주식수</t>
        </is>
      </c>
      <c r="C30" s="53" t="inlineStr">
        <is>
          <t>15,601,881주</t>
        </is>
      </c>
      <c r="D30" s="53" t="inlineStr"/>
      <c r="E30" s="53" t="inlineStr"/>
      <c r="F30" s="53" t="inlineStr"/>
      <c r="G30" s="53" t="inlineStr"/>
    </row>
    <row r="31">
      <c r="B31" s="63" t="inlineStr">
        <is>
          <t>주당 평가가액</t>
        </is>
      </c>
      <c r="C31" s="53" t="inlineStr">
        <is>
          <t>18,030원</t>
        </is>
      </c>
      <c r="D31" s="53" t="inlineStr"/>
      <c r="E31" s="53" t="inlineStr"/>
      <c r="F31" s="53" t="inlineStr"/>
      <c r="G31" s="53" t="inlineStr"/>
    </row>
    <row r="32">
      <c r="B32" s="63" t="inlineStr">
        <is>
          <t>희망공모가 밴드</t>
        </is>
      </c>
      <c r="C32" s="53" t="inlineStr">
        <is>
          <t>11,000 ~ 15,000원 (평가액 대비 16.81~38.99% 할인)</t>
        </is>
      </c>
      <c r="D32" s="53" t="inlineStr"/>
      <c r="E32" s="53" t="inlineStr"/>
      <c r="F32" s="53" t="inlineStr"/>
      <c r="G32" s="53" t="inlineStr"/>
    </row>
    <row r="33">
      <c r="B33" s="63" t="inlineStr">
        <is>
          <t>확정 공모가</t>
        </is>
      </c>
      <c r="C33" s="53" t="inlineStr">
        <is>
          <t>20,000원</t>
        </is>
      </c>
      <c r="D33" s="53" t="inlineStr"/>
      <c r="E33" s="53" t="inlineStr"/>
      <c r="F33" s="53" t="inlineStr"/>
      <c r="G33" s="53" t="inlineStr"/>
    </row>
    <row r="34">
      <c r="A34" s="66" t="inlineStr">
        <is>
          <t>⚠️ 공모가는 2026년 추정 당기순이익 11,450백만원을 전제로 산정되었으나, 2026년 반기 실적은 순손실 3,665백만원</t>
        </is>
      </c>
    </row>
    <row r="37">
      <c r="B37" s="16" t="inlineStr">
        <is>
          <t>동종 업종 밸류에이션 (2024.09.23 기준)</t>
        </is>
      </c>
    </row>
    <row r="38">
      <c r="B38" s="6" t="inlineStr">
        <is>
          <t>기업명</t>
        </is>
      </c>
      <c r="C38" s="6" t="inlineStr">
        <is>
          <t>종가(원)</t>
        </is>
      </c>
      <c r="D38" s="6" t="inlineStr">
        <is>
          <t>시가총액(십억원)</t>
        </is>
      </c>
      <c r="E38" s="6" t="inlineStr">
        <is>
          <t>PSR(배, 2024F)</t>
        </is>
      </c>
      <c r="F38" s="6" t="inlineStr">
        <is>
          <t>PBR(배, 2024F)</t>
        </is>
      </c>
      <c r="G38" s="6" t="inlineStr"/>
    </row>
    <row r="39">
      <c r="B39" s="63" t="inlineStr">
        <is>
          <t>엔젤로보틱스</t>
        </is>
      </c>
      <c r="C39" s="69" t="n">
        <v>29850</v>
      </c>
      <c r="D39" s="69" t="n">
        <v>446</v>
      </c>
      <c r="E39" s="18" t="n">
        <v>66.09999999999999</v>
      </c>
      <c r="F39" s="18" t="n">
        <v>13.2</v>
      </c>
      <c r="G39" s="53" t="inlineStr"/>
    </row>
    <row r="40">
      <c r="B40" s="63" t="inlineStr">
        <is>
          <t>삼익THK</t>
        </is>
      </c>
      <c r="C40" s="69" t="n">
        <v>9820</v>
      </c>
      <c r="D40" s="69" t="n">
        <v>206</v>
      </c>
      <c r="E40" s="70" t="n">
        <v>0.6</v>
      </c>
      <c r="F40" s="70" t="n">
        <v>1</v>
      </c>
      <c r="G40" s="53" t="inlineStr"/>
    </row>
    <row r="41">
      <c r="B41" s="63" t="inlineStr">
        <is>
          <t>알에스오토메이션</t>
        </is>
      </c>
      <c r="C41" s="69" t="n">
        <v>11560</v>
      </c>
      <c r="D41" s="69" t="n">
        <v>108</v>
      </c>
      <c r="E41" s="70" t="n">
        <v>1.2</v>
      </c>
      <c r="F41" s="70" t="n">
        <v>3</v>
      </c>
      <c r="G41" s="53" t="inlineStr"/>
    </row>
    <row r="42">
      <c r="B42" s="63" t="inlineStr">
        <is>
          <t>코스닥 평균</t>
        </is>
      </c>
      <c r="C42" s="69" t="n">
        <v>755</v>
      </c>
      <c r="D42" s="69" t="n">
        <v>372025</v>
      </c>
      <c r="E42" s="70" t="n">
        <v>1.8</v>
      </c>
      <c r="F42" s="70" t="n">
        <v>2.4</v>
      </c>
      <c r="G42" s="53" t="inlineStr"/>
    </row>
    <row r="43">
      <c r="A43" s="30" t="inlineStr">
        <is>
          <t>출처: Quantiwise, 한국IR협의회 기업리서치센터 / 최근 3개월간 한국거래소 시장경보제도 지정 이력 없음</t>
        </is>
      </c>
    </row>
  </sheetData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tabColor rgb="00002060"/>
    <outlinePr summaryBelow="1" summaryRight="1"/>
    <pageSetUpPr/>
  </sheetPr>
  <dimension ref="A1:G3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>
      <c r="A2" s="15" t="inlineStr">
        <is>
          <t>관리종목 지정요건 및 자기자본 시뮬레이션</t>
        </is>
      </c>
    </row>
    <row r="3">
      <c r="A3" s="4" t="inlineStr">
        <is>
          <t>단위: 백만원 / 출처: 제10기 반기보고서 「관리종목 지정유예 현황」</t>
        </is>
      </c>
    </row>
    <row r="4"/>
    <row r="5">
      <c r="B5" s="16" t="inlineStr">
        <is>
          <t>요건별 유예 현황 (동사 공시 기준)</t>
        </is>
      </c>
    </row>
    <row r="6">
      <c r="B6" s="6" t="inlineStr">
        <is>
          <t>요건</t>
        </is>
      </c>
      <c r="C6" s="6" t="inlineStr">
        <is>
          <t>기준</t>
        </is>
      </c>
      <c r="D6" s="6" t="inlineStr">
        <is>
          <t>유예 종료</t>
        </is>
      </c>
      <c r="E6" s="6" t="inlineStr">
        <is>
          <t>적용 개시</t>
        </is>
      </c>
      <c r="F6" s="6" t="inlineStr">
        <is>
          <t>현황</t>
        </is>
      </c>
      <c r="G6" s="6" t="inlineStr"/>
    </row>
    <row r="7">
      <c r="B7" s="63" t="inlineStr">
        <is>
          <t>매출액</t>
        </is>
      </c>
      <c r="C7" s="53" t="inlineStr">
        <is>
          <t>최근 사업연도 매출액 30억원 미만</t>
        </is>
      </c>
      <c r="D7" s="53" t="inlineStr">
        <is>
          <t>2028.12.31</t>
        </is>
      </c>
      <c r="E7" s="53" t="inlineStr">
        <is>
          <t>2029 사업연도</t>
        </is>
      </c>
      <c r="F7" s="53" t="inlineStr">
        <is>
          <t>2025년 4,641백만원 → 미해당</t>
        </is>
      </c>
      <c r="G7" s="53" t="inlineStr"/>
    </row>
    <row r="8">
      <c r="B8" s="63" t="inlineStr">
        <is>
          <t>계속사업손실</t>
        </is>
      </c>
      <c r="C8" s="53" t="inlineStr">
        <is>
          <t>자기자본 50% 초과 세전손실이 최근 3년 중 2회 이상 및 최근 사업연도 손실</t>
        </is>
      </c>
      <c r="D8" s="53" t="inlineStr">
        <is>
          <t>2026.12.31</t>
        </is>
      </c>
      <c r="E8" s="53" t="inlineStr">
        <is>
          <t>2027 사업연도</t>
        </is>
      </c>
      <c r="F8" s="53" t="inlineStr">
        <is>
          <t>2025년 -29.8% → 미해당</t>
        </is>
      </c>
      <c r="G8" s="53" t="inlineStr"/>
    </row>
    <row r="9">
      <c r="B9" s="63" t="inlineStr">
        <is>
          <t>자본잠식</t>
        </is>
      </c>
      <c r="C9" s="53" t="inlineStr">
        <is>
          <t>자본잠식률 50% 이상 또는 자기자본 10억원 미만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자본금 7,696 / 자기자본 30,982 → 해당없음</t>
        </is>
      </c>
      <c r="G9" s="53" t="inlineStr"/>
    </row>
    <row r="10"/>
    <row r="11"/>
    <row r="12">
      <c r="B12" s="16" t="inlineStr">
        <is>
          <t>세전손실 대비 자기자본 비율 (실적)</t>
        </is>
      </c>
    </row>
    <row r="13">
      <c r="B13" s="6" t="inlineStr">
        <is>
          <t>사업연도</t>
        </is>
      </c>
      <c r="C13" s="6" t="inlineStr">
        <is>
          <t>세전계속사업손익 (A)</t>
        </is>
      </c>
      <c r="D13" s="6" t="inlineStr">
        <is>
          <t>자기자본 (B)</t>
        </is>
      </c>
      <c r="E13" s="6" t="inlineStr">
        <is>
          <t>비율 (A/B)</t>
        </is>
      </c>
      <c r="F13" s="6" t="inlineStr">
        <is>
          <t>요건 해당여부</t>
        </is>
      </c>
      <c r="G13" s="6" t="inlineStr"/>
    </row>
    <row r="14">
      <c r="B14" s="71" t="inlineStr">
        <is>
          <t>2023년</t>
        </is>
      </c>
      <c r="C14" s="21" t="n">
        <v>-9239</v>
      </c>
      <c r="D14" s="21" t="n">
        <v>8678</v>
      </c>
      <c r="E14" s="42">
        <f>C14/D14</f>
        <v/>
      </c>
      <c r="F14" s="41" t="inlineStr">
        <is>
          <t>미해당 (유예)</t>
        </is>
      </c>
    </row>
    <row r="15">
      <c r="B15" s="71" t="inlineStr">
        <is>
          <t>2024년</t>
        </is>
      </c>
      <c r="C15" s="21" t="n">
        <v>-10006</v>
      </c>
      <c r="D15" s="21" t="n">
        <v>40329</v>
      </c>
      <c r="E15" s="42">
        <f>C15/D15</f>
        <v/>
      </c>
      <c r="F15" s="41" t="inlineStr">
        <is>
          <t>미해당</t>
        </is>
      </c>
    </row>
    <row r="16">
      <c r="B16" s="71" t="inlineStr">
        <is>
          <t>2025년</t>
        </is>
      </c>
      <c r="C16" s="21" t="n">
        <v>-9715</v>
      </c>
      <c r="D16" s="21" t="n">
        <v>32626</v>
      </c>
      <c r="E16" s="42">
        <f>C16/D16</f>
        <v/>
      </c>
      <c r="F16" s="41" t="inlineStr">
        <is>
          <t>미해당</t>
        </is>
      </c>
    </row>
    <row r="17"/>
    <row r="18"/>
    <row r="19">
      <c r="B19" s="16" t="inlineStr">
        <is>
          <t>자기자본 및 판정비율 시뮬레이션</t>
        </is>
      </c>
    </row>
    <row r="20">
      <c r="B20" s="30" t="inlineStr">
        <is>
          <t>가정: 연간 세전손실 7,300백만원 (2026년 반기 실적 연간 환산) / 주식보상·옵션행사 유입 연 1,200백만원 / 2025년말 자기자본 32,626백만원 출발</t>
        </is>
      </c>
    </row>
    <row r="21"/>
    <row r="22">
      <c r="C22" s="72" t="inlineStr">
        <is>
          <t>A안 : CPS 미발행</t>
        </is>
      </c>
      <c r="E22" s="73" t="inlineStr">
        <is>
          <t>B안 : CPS 20,000백만원 발행</t>
        </is>
      </c>
    </row>
    <row r="23">
      <c r="B23" s="6" t="inlineStr">
        <is>
          <t>사업연도</t>
        </is>
      </c>
      <c r="C23" s="6" t="inlineStr">
        <is>
          <t>자기자본</t>
        </is>
      </c>
      <c r="D23" s="6" t="inlineStr">
        <is>
          <t>손실/자본</t>
        </is>
      </c>
      <c r="E23" s="6" t="inlineStr">
        <is>
          <t>자기자본</t>
        </is>
      </c>
      <c r="F23" s="6" t="inlineStr">
        <is>
          <t>손실/자본</t>
        </is>
      </c>
      <c r="G23" s="6" t="inlineStr"/>
    </row>
    <row r="24">
      <c r="B24" s="71" t="inlineStr">
        <is>
          <t>2026년(E)</t>
        </is>
      </c>
      <c r="C24" s="74">
        <f>32626-$C$32+$C$33</f>
        <v/>
      </c>
      <c r="D24" s="75">
        <f>IF(C24&lt;=0,"자본잠식",$C$32/C24)</f>
        <v/>
      </c>
      <c r="E24" s="74">
        <f>32626+20000-$C$32+$C$33</f>
        <v/>
      </c>
      <c r="F24" s="75">
        <f>IF(E24&lt;=0,"자본잠식",$C$32/E24)</f>
        <v/>
      </c>
    </row>
    <row r="25">
      <c r="B25" s="71" t="inlineStr">
        <is>
          <t>2027년(E)</t>
        </is>
      </c>
      <c r="C25" s="74">
        <f>C24-$C$32+$C$33</f>
        <v/>
      </c>
      <c r="D25" s="75">
        <f>IF(C25&lt;=0,"자본잠식",$C$32/C25)</f>
        <v/>
      </c>
      <c r="E25" s="74">
        <f>E24-$C$32+$C$33</f>
        <v/>
      </c>
      <c r="F25" s="75">
        <f>IF(E25&lt;=0,"자본잠식",$C$32/E25)</f>
        <v/>
      </c>
    </row>
    <row r="26">
      <c r="B26" s="71" t="inlineStr">
        <is>
          <t>2028년(E)</t>
        </is>
      </c>
      <c r="C26" s="74">
        <f>C25-$C$32+$C$33</f>
        <v/>
      </c>
      <c r="D26" s="75">
        <f>IF(C26&lt;=0,"자본잠식",$C$32/C26)</f>
        <v/>
      </c>
      <c r="E26" s="74">
        <f>E25-$C$32+$C$33</f>
        <v/>
      </c>
      <c r="F26" s="75">
        <f>IF(E26&lt;=0,"자본잠식",$C$32/E26)</f>
        <v/>
      </c>
    </row>
    <row r="27">
      <c r="B27" s="71" t="inlineStr">
        <is>
          <t>2029년(E)</t>
        </is>
      </c>
      <c r="C27" s="74">
        <f>C26-$C$32+$C$33</f>
        <v/>
      </c>
      <c r="D27" s="75">
        <f>IF(C27&lt;=0,"자본잠식",$C$32/C27)</f>
        <v/>
      </c>
      <c r="E27" s="74">
        <f>E26-$C$32+$C$33</f>
        <v/>
      </c>
      <c r="F27" s="75">
        <f>IF(E27&lt;=0,"자본잠식",$C$32/E27)</f>
        <v/>
      </c>
    </row>
    <row r="28">
      <c r="B28" s="71" t="inlineStr">
        <is>
          <t>2030년(E)</t>
        </is>
      </c>
      <c r="C28" s="74">
        <f>C27-$C$32+$C$33</f>
        <v/>
      </c>
      <c r="D28" s="75">
        <f>IF(C28&lt;=0,"자본잠식",$C$32/C28)</f>
        <v/>
      </c>
      <c r="E28" s="74">
        <f>E27-$C$32+$C$33</f>
        <v/>
      </c>
      <c r="F28" s="75">
        <f>IF(E28&lt;=0,"자본잠식",$C$32/E28)</f>
        <v/>
      </c>
    </row>
    <row r="29">
      <c r="B29" s="71" t="inlineStr">
        <is>
          <t>2031년(E)</t>
        </is>
      </c>
      <c r="C29" s="74">
        <f>C28-$C$32+$C$33</f>
        <v/>
      </c>
      <c r="D29" s="75">
        <f>IF(C29&lt;=0,"자본잠식",$C$32/C29)</f>
        <v/>
      </c>
      <c r="E29" s="74">
        <f>E28-$C$32+$C$33</f>
        <v/>
      </c>
      <c r="F29" s="75">
        <f>IF(E29&lt;=0,"자본잠식",$C$32/E29)</f>
        <v/>
      </c>
    </row>
    <row r="30"/>
    <row r="31"/>
    <row r="32">
      <c r="B32" s="76" t="inlineStr">
        <is>
          <t>연간 세전손실 (가정)</t>
        </is>
      </c>
      <c r="C32" s="77" t="n">
        <v>7300</v>
      </c>
    </row>
    <row r="33">
      <c r="B33" s="76" t="inlineStr">
        <is>
          <t>연간 자본 유입 (가정)</t>
        </is>
      </c>
      <c r="C33" s="77" t="n">
        <v>1200</v>
      </c>
    </row>
    <row r="34"/>
    <row r="35">
      <c r="A35" s="30" t="inlineStr">
        <is>
          <t>※ 노란색 셀(C열 가정값)을 수정하면 시뮬레이션 전체가 재계산됨</t>
        </is>
      </c>
    </row>
    <row r="36">
      <c r="A36" s="66" t="inlineStr">
        <is>
          <t>A안: 2028 사업연도에 판정비율이 50%를 초과하고 2029 사업연도 결산에서 최근 3년 중 2회가 성립하여 요건에 해당</t>
        </is>
      </c>
    </row>
    <row r="37">
      <c r="A37" s="30" t="inlineStr">
        <is>
          <t>B안: 2031년까지 50%를 하회하여 투자자의 전환권 행사 가능 기간 전체를 커버</t>
        </is>
      </c>
    </row>
    <row r="38">
      <c r="A38" s="66" t="inlineStr">
        <is>
          <t>⚠️ 가정에 기초한 추정으로 실제 결과와 차이가 발생할 수 있으며, CPS의 자본 분류는 감사인 판단을 전제로 함</t>
        </is>
      </c>
    </row>
    <row r="39">
      <c r="A39" s="30" t="inlineStr">
        <is>
          <t>주) 실적표(위)의 비율은 공시 원문 표기를 따라 손실을 음수로 표시하였고, 시뮬레이션(아래)은 절대값 기준 양수로 표시함</t>
        </is>
      </c>
    </row>
  </sheetData>
  <mergeCells count="2">
    <mergeCell ref="E22:F22"/>
    <mergeCell ref="C22:D22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tabColor rgb="00002060"/>
    <outlinePr summaryBelow="1" summaryRight="1"/>
    <pageSetUpPr/>
  </sheetPr>
  <dimension ref="A2:F4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40" customWidth="1" min="5" max="5"/>
    <col width="46" customWidth="1" min="6" max="6"/>
  </cols>
  <sheetData>
    <row r="2">
      <c r="A2" s="15" t="inlineStr">
        <is>
          <t>자료 출처 목록</t>
        </is>
      </c>
    </row>
    <row r="3">
      <c r="A3" s="4" t="inlineStr">
        <is>
          <t>2026.08.25 기준</t>
        </is>
      </c>
    </row>
    <row r="5">
      <c r="B5" s="16" t="inlineStr">
        <is>
          <t>1차 자료 (공시)</t>
        </is>
      </c>
    </row>
    <row r="6">
      <c r="B6" s="6" t="inlineStr">
        <is>
          <t>자료명</t>
        </is>
      </c>
      <c r="C6" s="6" t="inlineStr">
        <is>
          <t>제출일</t>
        </is>
      </c>
      <c r="D6" s="6" t="inlineStr">
        <is>
          <t>성격</t>
        </is>
      </c>
      <c r="E6" s="6" t="inlineStr">
        <is>
          <t>활용 시트</t>
        </is>
      </c>
      <c r="F6" s="6" t="inlineStr">
        <is>
          <t>비고</t>
        </is>
      </c>
    </row>
    <row r="7">
      <c r="B7" s="63" t="inlineStr">
        <is>
          <t>제10기 반기보고서</t>
        </is>
      </c>
      <c r="C7" s="53" t="inlineStr">
        <is>
          <t>2026.08.14</t>
        </is>
      </c>
      <c r="D7" s="53" t="inlineStr">
        <is>
          <t>공시 원문</t>
        </is>
      </c>
      <c r="E7" s="53" t="inlineStr">
        <is>
          <t>01~04, 06~09, 11, 12</t>
        </is>
      </c>
      <c r="F7" s="53" t="inlineStr">
        <is>
          <t>최신·확정. 검토받은 반기재무제표</t>
        </is>
      </c>
    </row>
    <row r="8">
      <c r="B8" s="63" t="inlineStr">
        <is>
          <t>제9기 사업보고서</t>
        </is>
      </c>
      <c r="C8" s="53" t="inlineStr">
        <is>
          <t>2026.03.23</t>
        </is>
      </c>
      <c r="D8" s="53" t="inlineStr">
        <is>
          <t>공시 원문</t>
        </is>
      </c>
      <c r="E8" s="53" t="inlineStr">
        <is>
          <t>01, 03, 08</t>
        </is>
      </c>
      <c r="F8" s="53" t="inlineStr">
        <is>
          <t>감사의견 적정</t>
        </is>
      </c>
    </row>
    <row r="11">
      <c r="B11" s="16" t="inlineStr">
        <is>
          <t>2차 자료 (제3자 분석)</t>
        </is>
      </c>
    </row>
    <row r="12">
      <c r="B12" s="6" t="inlineStr">
        <is>
          <t>자료명</t>
        </is>
      </c>
      <c r="C12" s="6" t="inlineStr">
        <is>
          <t>작성일</t>
        </is>
      </c>
      <c r="D12" s="6" t="inlineStr">
        <is>
          <t>작성기관</t>
        </is>
      </c>
      <c r="E12" s="6" t="inlineStr">
        <is>
          <t>활용 시트</t>
        </is>
      </c>
      <c r="F12" s="6" t="inlineStr">
        <is>
          <t>비고</t>
        </is>
      </c>
    </row>
    <row r="13">
      <c r="B13" s="63" t="inlineStr">
        <is>
          <t>기업분석보고서</t>
        </is>
      </c>
      <c r="C13" s="53" t="inlineStr">
        <is>
          <t>2024.09.26</t>
        </is>
      </c>
      <c r="D13" s="53" t="inlineStr">
        <is>
          <t>한국IR협의회 기업리서치센터</t>
        </is>
      </c>
      <c r="E13" s="53" t="inlineStr">
        <is>
          <t>06, 09, 10, 11</t>
        </is>
      </c>
      <c r="F13" s="53" t="inlineStr">
        <is>
          <t>시장점유율·판매처·회수기간 도표 보유</t>
        </is>
      </c>
    </row>
    <row r="14">
      <c r="B14" s="63" t="inlineStr">
        <is>
          <t>기업분석 리포트</t>
        </is>
      </c>
      <c r="C14" s="53" t="inlineStr">
        <is>
          <t>2025.12.16</t>
        </is>
      </c>
      <c r="D14" s="53" t="inlineStr">
        <is>
          <t>리딩투자증권</t>
        </is>
      </c>
      <c r="E14" s="53" t="inlineStr">
        <is>
          <t>09, 10, 11</t>
        </is>
      </c>
      <c r="F14" s="53" t="inlineStr">
        <is>
          <t>가장 최신 증권사 리포트. Not Rated</t>
        </is>
      </c>
    </row>
    <row r="15">
      <c r="B15" s="63" t="inlineStr">
        <is>
          <t>기업분석 리포트</t>
        </is>
      </c>
      <c r="C15" s="53" t="inlineStr">
        <is>
          <t>2025.05.29</t>
        </is>
      </c>
      <c r="D15" s="53" t="inlineStr">
        <is>
          <t>SK증권</t>
        </is>
      </c>
      <c r="E15" s="53" t="inlineStr">
        <is>
          <t>08, 10</t>
        </is>
      </c>
      <c r="F15" s="53" t="inlineStr">
        <is>
          <t>국가과제 리스트·엔젤라 플랫폼. Not Rated</t>
        </is>
      </c>
    </row>
    <row r="16">
      <c r="B16" s="63" t="inlineStr">
        <is>
          <t>IPO 분석 리포트</t>
        </is>
      </c>
      <c r="C16" s="53" t="inlineStr">
        <is>
          <t>2024.03.06</t>
        </is>
      </c>
      <c r="D16" s="53" t="inlineStr">
        <is>
          <t>유진투자증권</t>
        </is>
      </c>
      <c r="E16" s="53" t="inlineStr">
        <is>
          <t>02, 10, 11</t>
        </is>
      </c>
      <c r="F16" s="53" t="inlineStr">
        <is>
          <t>침투율·공모가 산정·보호예수. 실적 전망은 outdated</t>
        </is>
      </c>
    </row>
    <row r="19">
      <c r="B19" s="16" t="inlineStr">
        <is>
          <t>웹 리서치 소스</t>
        </is>
      </c>
    </row>
    <row r="20">
      <c r="B20" s="6" t="inlineStr">
        <is>
          <t>항목</t>
        </is>
      </c>
      <c r="C20" s="6" t="inlineStr">
        <is>
          <t>기관/매체</t>
        </is>
      </c>
      <c r="D20" s="6" t="inlineStr">
        <is>
          <t>활용 시트</t>
        </is>
      </c>
      <c r="E20" s="6" t="inlineStr">
        <is>
          <t>URL</t>
        </is>
      </c>
      <c r="F20" s="6" t="inlineStr"/>
    </row>
    <row r="21">
      <c r="B21" s="10" t="inlineStr">
        <is>
          <t>국산 재활로봇 수가 미확보 이슈</t>
        </is>
      </c>
      <c r="C21" s="10" t="inlineStr">
        <is>
          <t>의학신문</t>
        </is>
      </c>
      <c r="D21" s="32" t="inlineStr">
        <is>
          <t>10</t>
        </is>
      </c>
      <c r="E21" s="78" t="inlineStr">
        <is>
          <t>http://www.bosa.co.kr/news/articleView.html?idxno=2114946</t>
        </is>
      </c>
    </row>
    <row r="22">
      <c r="B22" s="10" t="inlineStr">
        <is>
          <t>로봇산업 실태조사 (국내 로봇산업 매출)</t>
        </is>
      </c>
      <c r="C22" s="10" t="inlineStr">
        <is>
          <t>한국로봇산업진흥원</t>
        </is>
      </c>
      <c r="D22" s="32" t="inlineStr">
        <is>
          <t>10</t>
        </is>
      </c>
      <c r="E22" s="78" t="inlineStr">
        <is>
          <t>https://www.kiria.org/portal/policysut/portalPlcyInquiry.do</t>
        </is>
      </c>
    </row>
    <row r="23">
      <c r="B23" s="10" t="inlineStr">
        <is>
          <t>로봇산업 실태조사 결과보고서</t>
        </is>
      </c>
      <c r="C23" s="10" t="inlineStr">
        <is>
          <t>공공데이터포털</t>
        </is>
      </c>
      <c r="D23" s="32" t="inlineStr">
        <is>
          <t>10</t>
        </is>
      </c>
      <c r="E23" s="78" t="inlineStr">
        <is>
          <t>https://www.data.go.kr/data/3041731/fileData.do</t>
        </is>
      </c>
    </row>
    <row r="24">
      <c r="B24" s="10" t="inlineStr">
        <is>
          <t>고령인구 비율·장래인구추계</t>
        </is>
      </c>
      <c r="C24" s="10" t="inlineStr">
        <is>
          <t>국가데이터처 2025 고령자 통계</t>
        </is>
      </c>
      <c r="D24" s="32" t="inlineStr">
        <is>
          <t>10</t>
        </is>
      </c>
      <c r="E24" s="78" t="inlineStr">
        <is>
          <t>https://www.kostat.go.kr/board.es?mid=a10301010000&amp;bid=10820&amp;list_no=438832</t>
        </is>
      </c>
    </row>
    <row r="25">
      <c r="B25" s="10" t="inlineStr">
        <is>
          <t>고령인구 100대 지표</t>
        </is>
      </c>
      <c r="C25" s="10" t="inlineStr">
        <is>
          <t>KOSIS</t>
        </is>
      </c>
      <c r="D25" s="32" t="inlineStr">
        <is>
          <t>10</t>
        </is>
      </c>
      <c r="E25" s="78" t="inlineStr">
        <is>
          <t>https://kosis.kr/visual/nsportalStats/detailContents.do?listId=A&amp;statJipyoId=3634</t>
        </is>
      </c>
    </row>
    <row r="26">
      <c r="B26" s="10" t="inlineStr">
        <is>
          <t>뇌졸중 환자수·재활 진료 통계</t>
        </is>
      </c>
      <c r="C26" s="10" t="inlineStr">
        <is>
          <t>건강보험심사평가원 의료빅데이터</t>
        </is>
      </c>
      <c r="D26" s="32" t="inlineStr">
        <is>
          <t>10</t>
        </is>
      </c>
      <c r="E26" s="78" t="inlineStr">
        <is>
          <t>https://opendata.hira.or.kr/op/opc/selectMedInfoSvcList.do</t>
        </is>
      </c>
    </row>
    <row r="27">
      <c r="B27" s="10" t="inlineStr">
        <is>
          <t>재활로봇 보급사업·수가 체계</t>
        </is>
      </c>
      <c r="C27" s="10" t="inlineStr">
        <is>
          <t>국립재활원 재활연구소</t>
        </is>
      </c>
      <c r="D27" s="32" t="inlineStr">
        <is>
          <t>10</t>
        </is>
      </c>
      <c r="E27" s="78" t="inlineStr">
        <is>
          <t>https://www.nrc.go.kr/research/html/content.do?depth=rp&amp;menu_cd=03_04_00_01</t>
        </is>
      </c>
    </row>
    <row r="28">
      <c r="B28" s="10" t="inlineStr">
        <is>
          <t>외골격 웨어러블 로봇 시장 규모</t>
        </is>
      </c>
      <c r="C28" s="10" t="inlineStr">
        <is>
          <t>Fortune Business Insights</t>
        </is>
      </c>
      <c r="D28" s="32" t="inlineStr">
        <is>
          <t>10</t>
        </is>
      </c>
      <c r="E28" s="78" t="inlineStr">
        <is>
          <t>https://www.fortunebusinessinsights.com/wearable-robotic-exoskeleton-market-104664</t>
        </is>
      </c>
    </row>
    <row r="29">
      <c r="B29" s="10" t="inlineStr">
        <is>
          <t>재활로봇 시장 규모 (대안 출처)</t>
        </is>
      </c>
      <c r="C29" s="10" t="inlineStr">
        <is>
          <t>GII Korea</t>
        </is>
      </c>
      <c r="D29" s="32" t="inlineStr">
        <is>
          <t>10</t>
        </is>
      </c>
      <c r="E29" s="78" t="inlineStr">
        <is>
          <t>https://www.giikorea.co.kr/report/gmi1858972-rehabilitation-robots-market-opportunity-growth.html</t>
        </is>
      </c>
    </row>
    <row r="30">
      <c r="B30" s="10" t="inlineStr">
        <is>
          <t>재활로봇 시장 규모 (대안 출처)</t>
        </is>
      </c>
      <c r="C30" s="10" t="inlineStr">
        <is>
          <t>Mordor Intelligence</t>
        </is>
      </c>
      <c r="D30" s="32" t="inlineStr">
        <is>
          <t>10</t>
        </is>
      </c>
      <c r="E30" s="78" t="inlineStr">
        <is>
          <t>https://www.mordorintelligence.kr/industry-reports/rehabilitation-robots-market</t>
        </is>
      </c>
    </row>
    <row r="31">
      <c r="B31" s="10" t="inlineStr">
        <is>
          <t>주가·거래 데이터</t>
        </is>
      </c>
      <c r="C31" s="10" t="inlineStr">
        <is>
          <t>한국거래소 정보데이터시스템</t>
        </is>
      </c>
      <c r="D31" s="32" t="inlineStr">
        <is>
          <t>11</t>
        </is>
      </c>
      <c r="E31" s="78" t="inlineStr">
        <is>
          <t>http://data.krx.co.kr</t>
        </is>
      </c>
    </row>
    <row r="33">
      <c r="A33" s="66" t="inlineStr">
        <is>
          <t>주1) 웹 소스는 검색 결과 요약을 기반으로 하며, 본문 인용 시 원문 확인이 필요함</t>
        </is>
      </c>
    </row>
    <row r="34">
      <c r="A34" s="30" t="inlineStr">
        <is>
          <t>주2) DART·증권사·통계 사이트는 현재 작업 환경에서 직접 접속이 제한되어 1차 자료는 파일 업로드로 확보</t>
        </is>
      </c>
    </row>
    <row r="37">
      <c r="B37" s="79" t="inlineStr">
        <is>
          <t>미확보 항목 (발행사 확보 필요)</t>
        </is>
      </c>
    </row>
    <row r="38">
      <c r="B38" s="6" t="inlineStr">
        <is>
          <t>항목</t>
        </is>
      </c>
      <c r="C38" s="6" t="inlineStr">
        <is>
          <t>영향 범위</t>
        </is>
      </c>
      <c r="D38" s="6" t="inlineStr">
        <is>
          <t>우선순위</t>
        </is>
      </c>
      <c r="E38" s="6" t="inlineStr"/>
      <c r="F38" s="6" t="inlineStr"/>
    </row>
    <row r="39">
      <c r="B39" s="63" t="inlineStr">
        <is>
          <t>딜 조건 (규모·만기·금리·옵션)</t>
        </is>
      </c>
      <c r="C39" s="53" t="inlineStr">
        <is>
          <t>Term Sheet 전체</t>
        </is>
      </c>
      <c r="D39" s="53" t="inlineStr">
        <is>
          <t>높음</t>
        </is>
      </c>
      <c r="E39" s="53" t="inlineStr"/>
      <c r="F39" s="53" t="inlineStr"/>
    </row>
    <row r="40">
      <c r="B40" s="63" t="inlineStr">
        <is>
          <t>CPS 자본분류 감사인 의견</t>
        </is>
      </c>
      <c r="C40" s="53" t="inlineStr">
        <is>
          <t>12_시뮬레이션 전제</t>
        </is>
      </c>
      <c r="D40" s="53" t="inlineStr">
        <is>
          <t>높음</t>
        </is>
      </c>
      <c r="E40" s="53" t="inlineStr"/>
      <c r="F40" s="53" t="inlineStr"/>
    </row>
    <row r="41">
      <c r="B41" s="63" t="inlineStr">
        <is>
          <t>아세안 수주 파이프라인</t>
        </is>
      </c>
      <c r="C41" s="53" t="inlineStr">
        <is>
          <t>해외 매출 논거</t>
        </is>
      </c>
      <c r="D41" s="53" t="inlineStr">
        <is>
          <t>높음</t>
        </is>
      </c>
      <c r="E41" s="53" t="inlineStr"/>
      <c r="F41" s="53" t="inlineStr"/>
    </row>
    <row r="42">
      <c r="B42" s="63" t="inlineStr">
        <is>
          <t>BEP 매출 규모</t>
        </is>
      </c>
      <c r="C42" s="53" t="inlineStr">
        <is>
          <t>영업레버리지 논거</t>
        </is>
      </c>
      <c r="D42" s="53" t="inlineStr">
        <is>
          <t>높음</t>
        </is>
      </c>
      <c r="E42" s="53" t="inlineStr"/>
      <c r="F42" s="53" t="inlineStr"/>
    </row>
    <row r="43">
      <c r="B43" s="63" t="inlineStr">
        <is>
          <t>제품별 마진</t>
        </is>
      </c>
      <c r="C43" s="53" t="inlineStr">
        <is>
          <t>06_제품별매출</t>
        </is>
      </c>
      <c r="D43" s="53" t="inlineStr">
        <is>
          <t>중간</t>
        </is>
      </c>
      <c r="E43" s="53" t="inlineStr"/>
      <c r="F43" s="53" t="inlineStr"/>
    </row>
    <row r="44">
      <c r="B44" s="63" t="inlineStr">
        <is>
          <t>경쟁사 실명 및 최신 점유율</t>
        </is>
      </c>
      <c r="C44" s="53" t="inlineStr">
        <is>
          <t>10_시장·산업</t>
        </is>
      </c>
      <c r="D44" s="53" t="inlineStr">
        <is>
          <t>중간</t>
        </is>
      </c>
      <c r="E44" s="53" t="inlineStr"/>
      <c r="F44" s="53" t="inlineStr"/>
    </row>
    <row r="45">
      <c r="B45" s="63" t="inlineStr">
        <is>
          <t>침투율 최신화 (현재 2023년 기준)</t>
        </is>
      </c>
      <c r="C45" s="53" t="inlineStr">
        <is>
          <t>10_시장·산업</t>
        </is>
      </c>
      <c r="D45" s="53" t="inlineStr">
        <is>
          <t>중간</t>
        </is>
      </c>
      <c r="E45" s="53" t="inlineStr"/>
      <c r="F45" s="53" t="inlineStr"/>
    </row>
  </sheetData>
  <hyperlinks>
    <hyperlink xmlns:r="http://schemas.openxmlformats.org/officeDocument/2006/relationships" ref="E21" r:id="rId1"/>
    <hyperlink xmlns:r="http://schemas.openxmlformats.org/officeDocument/2006/relationships" ref="E22" r:id="rId2"/>
    <hyperlink xmlns:r="http://schemas.openxmlformats.org/officeDocument/2006/relationships" ref="E23" r:id="rId3"/>
    <hyperlink xmlns:r="http://schemas.openxmlformats.org/officeDocument/2006/relationships" ref="E24" r:id="rId4"/>
    <hyperlink xmlns:r="http://schemas.openxmlformats.org/officeDocument/2006/relationships" ref="E25" r:id="rId5"/>
    <hyperlink xmlns:r="http://schemas.openxmlformats.org/officeDocument/2006/relationships" ref="E26" r:id="rId6"/>
    <hyperlink xmlns:r="http://schemas.openxmlformats.org/officeDocument/2006/relationships" ref="E27" r:id="rId7"/>
    <hyperlink xmlns:r="http://schemas.openxmlformats.org/officeDocument/2006/relationships" ref="E28" r:id="rId8"/>
    <hyperlink xmlns:r="http://schemas.openxmlformats.org/officeDocument/2006/relationships" ref="E29" r:id="rId9"/>
    <hyperlink xmlns:r="http://schemas.openxmlformats.org/officeDocument/2006/relationships" ref="E30" r:id="rId10"/>
    <hyperlink xmlns:r="http://schemas.openxmlformats.org/officeDocument/2006/relationships" ref="E31" r:id="rId11"/>
  </hyperlink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2026-08-25T05:47:21Z</dcterms:created>
  <dcterms:modified xmlns:dcterms="http://purl.org/dc/terms/" xmlns:xsi="http://www.w3.org/2001/XMLSchema-instance" xsi:type="dcterms:W3CDTF">2026-08-25T05:57:52Z</dcterms:modified>
</cp:coreProperties>
</file>