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1190" tabRatio="600" firstSheet="0" activeTab="7" autoFilterDateGrouping="1"/>
  </bookViews>
  <sheets>
    <sheet xmlns:r="http://schemas.openxmlformats.org/officeDocument/2006/relationships" name="00_Overview" sheetId="1" state="visible" r:id="rId1"/>
    <sheet xmlns:r="http://schemas.openxmlformats.org/officeDocument/2006/relationships" name="01_회사개요·연혁" sheetId="2" state="visible" r:id="rId2"/>
    <sheet xmlns:r="http://schemas.openxmlformats.org/officeDocument/2006/relationships" name="02_주주·경영진" sheetId="3" state="visible" r:id="rId3"/>
    <sheet xmlns:r="http://schemas.openxmlformats.org/officeDocument/2006/relationships" name="03_손익계산서" sheetId="4" state="visible" r:id="rId4"/>
    <sheet xmlns:r="http://schemas.openxmlformats.org/officeDocument/2006/relationships" name="04_재무상태표" sheetId="5" state="visible" r:id="rId5"/>
    <sheet xmlns:r="http://schemas.openxmlformats.org/officeDocument/2006/relationships" name="05_재무비율" sheetId="6" state="visible" r:id="rId6"/>
    <sheet xmlns:r="http://schemas.openxmlformats.org/officeDocument/2006/relationships" name="06_제품별매출" sheetId="7" state="visible" r:id="rId7"/>
    <sheet xmlns:r="http://schemas.openxmlformats.org/officeDocument/2006/relationships" name="07_추정치대비실적" sheetId="8" state="visible" r:id="rId8"/>
    <sheet xmlns:r="http://schemas.openxmlformats.org/officeDocument/2006/relationships" name="08_R&amp;D·국가과제" sheetId="9" state="visible" r:id="rId9"/>
    <sheet xmlns:r="http://schemas.openxmlformats.org/officeDocument/2006/relationships" name="09_인허가·수상" sheetId="10" state="visible" r:id="rId10"/>
    <sheet xmlns:r="http://schemas.openxmlformats.org/officeDocument/2006/relationships" name="인증현황" sheetId="11" state="visible" r:id="rId11"/>
    <sheet xmlns:r="http://schemas.openxmlformats.org/officeDocument/2006/relationships" name="10_시장·산업" sheetId="12" state="visible" r:id="rId12"/>
    <sheet xmlns:r="http://schemas.openxmlformats.org/officeDocument/2006/relationships" name="11_주가·밸류에이션" sheetId="13" state="visible" r:id="rId13"/>
    <sheet xmlns:r="http://schemas.openxmlformats.org/officeDocument/2006/relationships" name="주가데이터" sheetId="14" state="visible" r:id="rId14"/>
    <sheet xmlns:r="http://schemas.openxmlformats.org/officeDocument/2006/relationships" name="12_관리종목·시뮬레이션" sheetId="15" state="visible" r:id="rId15"/>
    <sheet xmlns:r="http://schemas.openxmlformats.org/officeDocument/2006/relationships" name="13_출처목록" sheetId="16" state="visible" r:id="rId16"/>
  </sheets>
  <definedNames>
    <definedName name="_xlnm.Print_Area" localSheetId="6">'06_제품별매출'!$A$1:$L$25</definedName>
    <definedName name="_xlnm.Print_Area" localSheetId="7">'07_추정치대비실적'!$A$1:$J$24</definedName>
    <definedName name="_xlnm.Print_Area" localSheetId="8">'08_R&amp;D·국가과제'!$A$1:$I$40</definedName>
    <definedName name="_xlnm.Print_Area" localSheetId="11">'10_시장·산업'!$A$1:$N$135</definedName>
    <definedName name="_xlnm._FilterDatabase" localSheetId="13" hidden="1">'주가데이터'!$A$1:$K$1</definedName>
  </definedNames>
  <calcPr calcId="191029" fullCalcOnLoad="1"/>
  <pivotCaches>
    <pivotCache xmlns:r="http://schemas.openxmlformats.org/officeDocument/2006/relationships" cacheId="0" r:id="rId17"/>
  </pivotCaches>
</workbook>
</file>

<file path=xl/styles.xml><?xml version="1.0" encoding="utf-8"?>
<styleSheet xmlns="http://schemas.openxmlformats.org/spreadsheetml/2006/main">
  <numFmts count="6">
    <numFmt numFmtId="164" formatCode="#,##0;\(#,##0\);\-"/>
    <numFmt numFmtId="165" formatCode="0.0%;\(0.0%\);\-"/>
    <numFmt numFmtId="166" formatCode="#,##0;\(#,##0\)"/>
    <numFmt numFmtId="167" formatCode="0.0%"/>
    <numFmt numFmtId="168" formatCode="yyyy&quot;년&quot;\ m&quot;월&quot;;@"/>
    <numFmt numFmtId="169" formatCode="yyyy/mm/dd;@"/>
  </numFmts>
  <fonts count="71">
    <font>
      <name val="맑은 고딕"/>
      <family val="2"/>
      <color theme="1"/>
      <sz val="11"/>
      <scheme val="minor"/>
    </font>
    <font>
      <name val="맑은 고딕"/>
      <charset val="129"/>
      <family val="3"/>
      <b val="1"/>
      <color rgb="FF002060"/>
      <sz val="20"/>
    </font>
    <font>
      <name val="맑은 고딕"/>
      <charset val="129"/>
      <family val="3"/>
      <color rgb="FF404040"/>
      <sz val="12"/>
    </font>
    <font>
      <name val="맑은 고딕"/>
      <charset val="129"/>
      <family val="3"/>
      <i val="1"/>
      <color rgb="FF808080"/>
      <sz val="9"/>
    </font>
    <font>
      <name val="맑은 고딕"/>
      <charset val="129"/>
      <family val="3"/>
      <b val="1"/>
      <color rgb="FF002060"/>
      <sz val="12"/>
    </font>
    <font>
      <name val="맑은 고딕"/>
      <charset val="129"/>
      <family val="3"/>
      <b val="1"/>
      <color rgb="FFFFFFFF"/>
      <sz val="9"/>
    </font>
    <font>
      <name val="맑은 고딕"/>
      <charset val="129"/>
      <family val="3"/>
      <b val="1"/>
      <color rgb="FF000000"/>
      <sz val="9"/>
    </font>
    <font>
      <name val="맑은 고딕"/>
      <charset val="129"/>
      <family val="3"/>
      <color rgb="FF0000FF"/>
      <sz val="9"/>
    </font>
    <font>
      <name val="맑은 고딕"/>
      <charset val="129"/>
      <family val="3"/>
      <b val="1"/>
      <sz val="9"/>
    </font>
    <font>
      <name val="맑은 고딕"/>
      <charset val="129"/>
      <family val="3"/>
      <sz val="9"/>
    </font>
    <font>
      <name val="맑은 고딕"/>
      <charset val="129"/>
      <family val="3"/>
      <color rgb="FF000000"/>
      <sz val="9"/>
    </font>
    <font>
      <name val="맑은 고딕"/>
      <charset val="129"/>
      <family val="3"/>
      <color rgb="FF808080"/>
      <sz val="9"/>
    </font>
    <font>
      <name val="맑은 고딕"/>
      <charset val="129"/>
      <family val="3"/>
      <b val="1"/>
      <color rgb="FF002060"/>
      <sz val="14"/>
    </font>
    <font>
      <name val="맑은 고딕"/>
      <charset val="129"/>
      <family val="3"/>
      <b val="1"/>
      <color rgb="FF002060"/>
      <sz val="11"/>
    </font>
    <font>
      <name val="맑은 고딕"/>
      <charset val="129"/>
      <family val="3"/>
      <b val="1"/>
      <color rgb="FF0000FF"/>
      <sz val="9"/>
    </font>
    <font>
      <name val="맑은 고딕"/>
      <charset val="129"/>
      <family val="3"/>
      <color rgb="FF808080"/>
      <sz val="8"/>
    </font>
    <font>
      <name val="맑은 고딕"/>
      <charset val="129"/>
      <family val="3"/>
      <b val="1"/>
      <color rgb="FF808080"/>
      <sz val="10"/>
    </font>
    <font>
      <name val="맑은 고딕"/>
      <charset val="129"/>
      <family val="3"/>
      <color rgb="FFC00000"/>
      <sz val="8"/>
    </font>
    <font>
      <name val="맑은 고딕"/>
      <charset val="129"/>
      <family val="3"/>
      <color rgb="FF0563C1"/>
      <sz val="8"/>
      <u val="single"/>
    </font>
    <font>
      <name val="맑은 고딕"/>
      <charset val="129"/>
      <family val="3"/>
      <b val="1"/>
      <color rgb="FFC00000"/>
      <sz val="11"/>
    </font>
    <font>
      <name val="맑은 고딕"/>
      <charset val="129"/>
      <family val="3"/>
      <sz val="8"/>
      <scheme val="minor"/>
    </font>
    <font>
      <name val="바탕"/>
      <charset val="129"/>
      <family val="1"/>
      <b val="1"/>
      <color rgb="FF000000"/>
      <sz val="12"/>
    </font>
    <font>
      <name val="굴림"/>
      <charset val="129"/>
      <family val="3"/>
      <color rgb="FF000000"/>
      <sz val="11"/>
    </font>
    <font>
      <name val="바탕"/>
      <charset val="129"/>
      <family val="1"/>
      <b val="1"/>
      <color rgb="FF000000"/>
      <sz val="10"/>
    </font>
    <font>
      <name val="맑은 고딕"/>
      <family val="2"/>
      <color theme="1"/>
      <sz val="10"/>
      <scheme val="minor"/>
    </font>
    <font>
      <name val="굴림"/>
      <charset val="129"/>
      <family val="3"/>
      <color rgb="FF000000"/>
      <sz val="10"/>
    </font>
    <font>
      <name val="바탕"/>
      <charset val="129"/>
      <family val="1"/>
      <color rgb="FF000000"/>
      <sz val="12"/>
    </font>
    <font>
      <name val="굴림"/>
      <charset val="129"/>
      <family val="3"/>
      <b val="1"/>
      <color rgb="FF000000"/>
      <sz val="11"/>
    </font>
    <font>
      <name val="굴림"/>
      <charset val="129"/>
      <family val="3"/>
      <color rgb="FF000000"/>
      <sz val="9"/>
    </font>
    <font>
      <name val="맑은 고딕"/>
      <charset val="129"/>
      <family val="3"/>
      <b val="1"/>
      <color rgb="FF002060"/>
      <sz val="10"/>
    </font>
    <font>
      <name val="맑은 고딕"/>
      <charset val="129"/>
      <family val="3"/>
      <color theme="1"/>
      <sz val="10"/>
      <scheme val="minor"/>
    </font>
    <font>
      <name val="맑은 고딕"/>
      <charset val="129"/>
      <family val="3"/>
      <i val="1"/>
      <color rgb="FF808080"/>
      <sz val="10"/>
    </font>
    <font>
      <name val="맑은 고딕"/>
      <charset val="129"/>
      <family val="3"/>
      <b val="1"/>
      <color rgb="FFFFFFFF"/>
      <sz val="10"/>
    </font>
    <font>
      <name val="맑은 고딕"/>
      <charset val="129"/>
      <family val="3"/>
      <b val="1"/>
      <color rgb="FF000000"/>
      <sz val="10"/>
    </font>
    <font>
      <name val="맑은 고딕"/>
      <charset val="129"/>
      <family val="3"/>
      <color rgb="FF000000"/>
      <sz val="10"/>
    </font>
    <font>
      <name val="맑은 고딕"/>
      <charset val="129"/>
      <family val="3"/>
      <color rgb="FFC00000"/>
      <sz val="10"/>
    </font>
    <font>
      <name val="맑은 고딕"/>
      <charset val="129"/>
      <family val="3"/>
      <b val="1"/>
      <sz val="10"/>
    </font>
    <font>
      <name val="맑은 고딕"/>
      <charset val="129"/>
      <family val="3"/>
      <b val="1"/>
      <color rgb="FF0000FF"/>
      <sz val="10"/>
    </font>
    <font>
      <name val="맑은 고딕"/>
      <charset val="129"/>
      <family val="3"/>
      <color rgb="FF808080"/>
      <sz val="10"/>
    </font>
    <font>
      <name val="맑은 고딕"/>
      <charset val="129"/>
      <family val="3"/>
      <b val="1"/>
      <color theme="1"/>
      <sz val="10"/>
      <u val="single"/>
      <scheme val="minor"/>
    </font>
    <font>
      <name val="맑은 고딕"/>
      <family val="2"/>
      <color indexed="8"/>
      <sz val="11"/>
      <scheme val="minor"/>
    </font>
    <font>
      <name val="Arial"/>
      <family val="2"/>
      <color indexed="8"/>
      <sz val="10"/>
    </font>
    <font>
      <name val="Arial"/>
      <family val="2"/>
      <b val="1"/>
      <color indexed="9"/>
      <sz val="10"/>
    </font>
    <font>
      <name val="돋움체"/>
      <charset val="129"/>
      <family val="3"/>
      <color rgb="FF3D3D3D"/>
      <sz val="10"/>
    </font>
    <font>
      <name val="돋움체"/>
      <charset val="129"/>
      <family val="3"/>
      <b val="1"/>
      <color rgb="FF000000"/>
      <sz val="10"/>
    </font>
    <font>
      <name val="맑은 고딕"/>
      <charset val="129"/>
      <family val="3"/>
      <b val="1"/>
      <color theme="1"/>
      <sz val="11"/>
      <scheme val="minor"/>
    </font>
    <font>
      <name val="굴림"/>
      <charset val="129"/>
      <family val="3"/>
      <b val="1"/>
      <color rgb="FF000000"/>
      <sz val="10"/>
    </font>
    <font>
      <name val="Courier New"/>
      <family val="3"/>
      <color rgb="FF1A1A1A"/>
      <sz val="10"/>
    </font>
    <font>
      <name val="맑은 고딕"/>
      <b val="1"/>
      <color rgb="00002060"/>
      <sz val="14"/>
    </font>
    <font>
      <name val="맑은 고딕"/>
      <i val="1"/>
      <color rgb="00808080"/>
      <sz val="9"/>
    </font>
    <font>
      <name val="맑은 고딕"/>
      <color rgb="00D0D0D0"/>
      <sz val="9"/>
    </font>
    <font>
      <name val="맑은 고딕"/>
      <b val="1"/>
      <color rgb="00002060"/>
      <sz val="11"/>
    </font>
    <font>
      <name val="맑은 고딕"/>
      <color rgb="00808080"/>
      <sz val="9"/>
    </font>
    <font>
      <name val="맑은 고딕"/>
      <b val="1"/>
      <color rgb="00FFFFFF"/>
      <sz val="9"/>
    </font>
    <font>
      <name val="맑은 고딕"/>
      <b val="1"/>
      <color rgb="00000000"/>
      <sz val="9"/>
    </font>
    <font>
      <name val="맑은 고딕"/>
      <color rgb="00000000"/>
      <sz val="9"/>
    </font>
    <font>
      <name val="맑은 고딕"/>
      <color rgb="00808080"/>
      <sz val="8"/>
    </font>
    <font>
      <name val="맑은 고딕"/>
      <color rgb="00C00000"/>
      <sz val="8"/>
    </font>
    <font>
      <name val="맑은 고딕"/>
      <color rgb="001F6F3D"/>
      <sz val="8"/>
    </font>
    <font>
      <name val="맑은 고딕"/>
      <color rgb="00808080"/>
      <sz val="10"/>
    </font>
    <font>
      <name val="맑은 고딕"/>
      <color rgb="00C00000"/>
      <sz val="9"/>
    </font>
    <font>
      <name val="맑은 고딕"/>
      <color rgb="00D0D0D0"/>
      <sz val="10"/>
    </font>
    <font>
      <name val="맑은 고딕"/>
      <b val="1"/>
      <color rgb="00002060"/>
      <sz val="10"/>
    </font>
    <font>
      <name val="맑은 고딕"/>
      <b val="1"/>
      <color rgb="00FFFFFF"/>
      <sz val="10"/>
    </font>
    <font>
      <name val="맑은 고딕"/>
      <b val="1"/>
      <color rgb="00000000"/>
      <sz val="10"/>
    </font>
    <font>
      <name val="맑은 고딕"/>
      <color rgb="00000000"/>
      <sz val="10"/>
    </font>
    <font>
      <name val="맑은 고딕"/>
      <b val="1"/>
      <color rgb="001F6F3D"/>
      <sz val="10"/>
    </font>
    <font>
      <name val="맑은 고딕"/>
      <b val="1"/>
      <color rgb="00C00000"/>
      <sz val="10"/>
    </font>
    <font>
      <name val="맑은 고딕"/>
      <b val="1"/>
      <color rgb="001F6F3D"/>
      <sz val="9"/>
    </font>
    <font>
      <name val="맑은 고딕"/>
      <color rgb="001F6F3D"/>
      <sz val="9"/>
    </font>
    <font>
      <name val="맑은 고딕"/>
      <b val="1"/>
      <color rgb="00C00000"/>
      <sz val="11"/>
    </font>
  </fonts>
  <fills count="14">
    <fill>
      <patternFill/>
    </fill>
    <fill>
      <patternFill patternType="gray125"/>
    </fill>
    <fill>
      <patternFill patternType="solid">
        <fgColor rgb="FF002060"/>
      </patternFill>
    </fill>
    <fill>
      <patternFill patternType="solid">
        <fgColor rgb="FFF2F2F2"/>
      </patternFill>
    </fill>
    <fill>
      <patternFill patternType="solid">
        <fgColor rgb="FFC00000"/>
      </patternFill>
    </fill>
    <fill>
      <patternFill patternType="solid">
        <fgColor rgb="FF00723F"/>
      </patternFill>
    </fill>
    <fill>
      <patternFill patternType="solid">
        <fgColor rgb="FFFFFF00"/>
      </patternFill>
    </fill>
    <fill>
      <patternFill patternType="solid">
        <fgColor rgb="FFD7D7D7"/>
        <bgColor indexed="64"/>
      </patternFill>
    </fill>
    <fill>
      <patternFill patternType="solid">
        <fgColor rgb="FFDCDCDC"/>
        <bgColor indexed="64"/>
      </patternFill>
    </fill>
    <fill>
      <patternFill patternType="solid">
        <fgColor rgb="FFD1D1D1"/>
        <bgColor indexed="64"/>
      </patternFill>
    </fill>
    <fill>
      <patternFill patternType="solid">
        <fgColor rgb="FFFFFF00"/>
        <bgColor indexed="64"/>
      </patternFill>
    </fill>
    <fill>
      <patternFill patternType="solid">
        <fgColor theme="0" tint="-0.0499893185216834"/>
        <bgColor indexed="64"/>
      </patternFill>
    </fill>
    <fill>
      <patternFill patternType="solid">
        <fgColor indexed="18"/>
      </patternFill>
    </fill>
    <fill>
      <patternFill patternType="solid">
        <fgColor rgb="00002060"/>
      </patternFill>
    </fill>
  </fills>
  <borders count="72">
    <border>
      <left/>
      <right/>
      <top/>
      <bottom/>
      <diagonal/>
    </border>
    <border>
      <left/>
      <right/>
      <top/>
      <bottom style="medium">
        <color rgb="FFF58220"/>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diagonal/>
    </border>
    <border>
      <left style="thin">
        <color rgb="FF808080"/>
      </left>
      <right style="thin">
        <color rgb="FF808080"/>
      </right>
      <top/>
      <bottom/>
      <diagonal/>
    </border>
    <border>
      <left style="thin">
        <color rgb="FF808080"/>
      </left>
      <right style="thin">
        <color rgb="FF808080"/>
      </right>
      <top/>
      <bottom style="thin">
        <color rgb="FF808080"/>
      </bottom>
      <diagonal/>
    </border>
    <border>
      <left/>
      <right style="thin">
        <color rgb="FF808080"/>
      </right>
      <top style="thin">
        <color rgb="FF808080"/>
      </top>
      <bottom/>
      <diagonal/>
    </border>
    <border>
      <left style="thin">
        <color rgb="FF808080"/>
      </left>
      <right/>
      <top/>
      <bottom/>
      <diagonal/>
    </border>
    <border>
      <left/>
      <right style="thin">
        <color rgb="FF808080"/>
      </right>
      <top/>
      <bottom/>
      <diagonal/>
    </border>
    <border>
      <left style="thin">
        <color rgb="FF808080"/>
      </left>
      <right/>
      <top/>
      <bottom style="thin">
        <color rgb="FF808080"/>
      </bottom>
      <diagonal/>
    </border>
    <border>
      <left/>
      <right style="thin">
        <color rgb="FF808080"/>
      </right>
      <top/>
      <bottom style="thin">
        <color rgb="FF808080"/>
      </bottom>
      <diagonal/>
    </border>
    <border>
      <left/>
      <right style="thin">
        <color rgb="FF808080"/>
      </right>
      <top style="thin">
        <color rgb="FF808080"/>
      </top>
      <bottom style="thin">
        <color rgb="FF808080"/>
      </bottom>
      <diagonal/>
    </border>
    <border>
      <left style="thin">
        <color rgb="FF000000"/>
      </left>
      <right style="thin">
        <color rgb="FF808080"/>
      </right>
      <top style="thin">
        <color rgb="FF000000"/>
      </top>
      <bottom/>
      <diagonal/>
    </border>
    <border>
      <left style="thin">
        <color rgb="FF808080"/>
      </left>
      <right/>
      <top style="thin">
        <color rgb="FF000000"/>
      </top>
      <bottom/>
      <diagonal/>
    </border>
    <border>
      <left/>
      <right style="thin">
        <color rgb="FF808080"/>
      </right>
      <top style="thin">
        <color rgb="FF000000"/>
      </top>
      <bottom/>
      <diagonal/>
    </border>
    <border>
      <left style="thin">
        <color rgb="FF808080"/>
      </left>
      <right style="thin">
        <color rgb="FF808080"/>
      </right>
      <top style="thin">
        <color rgb="FF000000"/>
      </top>
      <bottom/>
      <diagonal/>
    </border>
    <border>
      <left style="thin">
        <color rgb="FF808080"/>
      </left>
      <right style="thin">
        <color rgb="FF000000"/>
      </right>
      <top style="thin">
        <color rgb="FF000000"/>
      </top>
      <bottom/>
      <diagonal/>
    </border>
    <border>
      <left style="thin">
        <color rgb="FF000000"/>
      </left>
      <right style="thin">
        <color rgb="FF808080"/>
      </right>
      <top/>
      <bottom/>
      <diagonal/>
    </border>
    <border>
      <left style="thin">
        <color rgb="FF808080"/>
      </left>
      <right style="thin">
        <color rgb="FF000000"/>
      </right>
      <top/>
      <bottom style="thin">
        <color rgb="FF808080"/>
      </bottom>
      <diagonal/>
    </border>
    <border>
      <left style="thin">
        <color rgb="FF000000"/>
      </left>
      <right style="thin">
        <color rgb="FF808080"/>
      </right>
      <top/>
      <bottom style="thin">
        <color rgb="FF808080"/>
      </bottom>
      <diagonal/>
    </border>
    <border>
      <left style="thin">
        <color rgb="FF808080"/>
      </left>
      <right style="thin">
        <color rgb="FF000000"/>
      </right>
      <top style="thin">
        <color rgb="FF808080"/>
      </top>
      <bottom style="thin">
        <color rgb="FF808080"/>
      </bottom>
      <diagonal/>
    </border>
    <border>
      <left style="thin">
        <color rgb="FF000000"/>
      </left>
      <right style="thin">
        <color rgb="FF808080"/>
      </right>
      <top style="thin">
        <color rgb="FF808080"/>
      </top>
      <bottom/>
      <diagonal/>
    </border>
    <border>
      <left style="thin">
        <color rgb="FF000000"/>
      </left>
      <right/>
      <top style="thin">
        <color rgb="FF808080"/>
      </top>
      <bottom style="thin">
        <color rgb="FF000000"/>
      </bottom>
      <diagonal/>
    </border>
    <border>
      <left/>
      <right style="thin">
        <color rgb="FF808080"/>
      </right>
      <top style="thin">
        <color rgb="FF808080"/>
      </top>
      <bottom style="thin">
        <color rgb="FF000000"/>
      </bottom>
      <diagonal/>
    </border>
    <border>
      <left style="thin">
        <color rgb="FF808080"/>
      </left>
      <right style="thin">
        <color rgb="FF808080"/>
      </right>
      <top style="thin">
        <color rgb="FF808080"/>
      </top>
      <bottom style="thin">
        <color rgb="FF000000"/>
      </bottom>
      <diagonal/>
    </border>
    <border>
      <left style="thin">
        <color rgb="FF808080"/>
      </left>
      <right style="thin">
        <color rgb="FF000000"/>
      </right>
      <top style="thin">
        <color rgb="FF808080"/>
      </top>
      <bottom style="thin">
        <color rgb="FF000000"/>
      </bottom>
      <diagonal/>
    </border>
    <border>
      <left/>
      <right style="thin">
        <color rgb="FF000000"/>
      </right>
      <top style="thin">
        <color rgb="FF000000"/>
      </top>
      <bottom/>
      <diagonal/>
    </border>
    <border>
      <left/>
      <right style="thin">
        <color rgb="FF000000"/>
      </right>
      <top/>
      <bottom style="thin">
        <color rgb="FF808080"/>
      </bottom>
      <diagonal/>
    </border>
    <border>
      <left/>
      <right/>
      <top style="thin">
        <color rgb="FF000000"/>
      </top>
      <bottom/>
      <diagonal/>
    </border>
    <border>
      <left style="thin">
        <color rgb="FF000000"/>
      </left>
      <right style="thin">
        <color rgb="FF808080"/>
      </right>
      <top/>
      <bottom style="thin">
        <color rgb="FF000000"/>
      </bottom>
      <diagonal/>
    </border>
    <border>
      <left style="thin">
        <color rgb="FF000000"/>
      </left>
      <right style="thin">
        <color rgb="FF808080"/>
      </right>
      <top style="thin">
        <color rgb="FF000000"/>
      </top>
      <bottom style="thin">
        <color rgb="FF808080"/>
      </bottom>
      <diagonal/>
    </border>
    <border>
      <left style="thin">
        <color rgb="FF808080"/>
      </left>
      <right/>
      <top style="thin">
        <color rgb="FF000000"/>
      </top>
      <bottom style="thin">
        <color rgb="FF808080"/>
      </bottom>
      <diagonal/>
    </border>
    <border>
      <left/>
      <right style="thin">
        <color rgb="FF000000"/>
      </right>
      <top style="thin">
        <color rgb="FF000000"/>
      </top>
      <bottom style="thin">
        <color rgb="FF808080"/>
      </bottom>
      <diagonal/>
    </border>
    <border>
      <left style="thin">
        <color rgb="FF808080"/>
      </left>
      <right style="thin">
        <color rgb="FF000000"/>
      </right>
      <top style="thin">
        <color rgb="FF808080"/>
      </top>
      <bottom/>
      <diagonal/>
    </border>
    <border>
      <left style="thin">
        <color rgb="FF808080"/>
      </left>
      <right style="thin">
        <color rgb="FF808080"/>
      </right>
      <top/>
      <bottom style="thin">
        <color rgb="FF000000"/>
      </bottom>
      <diagonal/>
    </border>
    <border>
      <left style="thin">
        <color rgb="FF808080"/>
      </left>
      <right style="thin">
        <color rgb="FF000000"/>
      </right>
      <top/>
      <bottom style="thin">
        <color rgb="FF000000"/>
      </bottom>
      <diagonal/>
    </border>
    <border>
      <left/>
      <right/>
      <top/>
      <bottom style="thin">
        <color rgb="FF000000"/>
      </bottom>
      <diagonal/>
    </border>
    <border>
      <left style="thin">
        <color rgb="FF808080"/>
      </left>
      <right style="thin">
        <color rgb="FF000000"/>
      </right>
      <top/>
      <bottom/>
      <diagonal/>
    </border>
    <border>
      <left style="thin">
        <color rgb="FF000000"/>
      </left>
      <right/>
      <top style="thin">
        <color rgb="FF000000"/>
      </top>
      <bottom style="thin">
        <color rgb="FF808080"/>
      </bottom>
      <diagonal/>
    </border>
    <border>
      <left/>
      <right style="thin">
        <color rgb="FF808080"/>
      </right>
      <top style="thin">
        <color rgb="FF000000"/>
      </top>
      <bottom style="thin">
        <color rgb="FF808080"/>
      </bottom>
      <diagonal/>
    </border>
    <border>
      <left style="thin">
        <color rgb="FF808080"/>
      </left>
      <right style="thin">
        <color rgb="FF808080"/>
      </right>
      <top style="thin">
        <color rgb="FF000000"/>
      </top>
      <bottom style="thin">
        <color rgb="FF808080"/>
      </bottom>
      <diagonal/>
    </border>
    <border>
      <left style="thin">
        <color rgb="FF808080"/>
      </left>
      <right style="thin">
        <color rgb="FF000000"/>
      </right>
      <top style="thin">
        <color rgb="FF000000"/>
      </top>
      <bottom style="thin">
        <color rgb="FF808080"/>
      </bottom>
      <diagonal/>
    </border>
    <border>
      <left style="thin">
        <color rgb="FF000000"/>
      </left>
      <right/>
      <top style="thin">
        <color rgb="FF808080"/>
      </top>
      <bottom style="thin">
        <color rgb="FF808080"/>
      </bottom>
      <diagonal/>
    </border>
    <border>
      <left style="thin">
        <color rgb="FF000000"/>
      </left>
      <right/>
      <top style="thin">
        <color rgb="FF808080"/>
      </top>
      <bottom/>
      <diagonal/>
    </border>
    <border>
      <left style="thin">
        <color rgb="FF000000"/>
      </left>
      <right/>
      <top/>
      <bottom style="thin">
        <color rgb="FF000000"/>
      </bottom>
      <diagonal/>
    </border>
    <border>
      <left/>
      <right style="thin">
        <color rgb="FF808080"/>
      </right>
      <top/>
      <bottom style="thin">
        <color rgb="FF000000"/>
      </bottom>
      <diagonal/>
    </border>
    <border>
      <left style="thin">
        <color rgb="FF000000"/>
      </left>
      <right/>
      <top style="thin">
        <color rgb="FF000000"/>
      </top>
      <bottom/>
      <diagonal/>
    </border>
    <border>
      <left style="thin">
        <color rgb="FF000000"/>
      </left>
      <right/>
      <top/>
      <bottom style="thin">
        <color rgb="FF808080"/>
      </bottom>
      <diagonal/>
    </border>
    <border>
      <left style="thin">
        <color rgb="FFBFBFBF"/>
      </left>
      <right/>
      <top/>
      <bottom/>
      <diagonal/>
    </border>
    <border>
      <left style="thin">
        <color rgb="FFBFBFBF"/>
      </left>
      <right style="thin">
        <color rgb="FFBFBFBF"/>
      </right>
      <top/>
      <bottom style="thin">
        <color rgb="FFBFBFBF"/>
      </bottom>
      <diagonal/>
    </border>
    <border>
      <left style="thin">
        <color auto="1"/>
      </left>
      <right style="thin">
        <color auto="1"/>
      </right>
      <top style="thin">
        <color auto="1"/>
      </top>
      <bottom style="thin">
        <color auto="1"/>
      </bottom>
      <diagonal/>
    </border>
    <border>
      <left style="medium">
        <color rgb="FF7F7F7F"/>
      </left>
      <right style="medium">
        <color rgb="FF7F7F7F"/>
      </right>
      <top style="medium">
        <color rgb="FF7F7F7F"/>
      </top>
      <bottom style="medium">
        <color rgb="FF7F7F7F"/>
      </bottom>
      <diagonal/>
    </border>
    <border>
      <left style="medium">
        <color rgb="FF7F7F7F"/>
      </left>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top style="medium">
        <color rgb="FF7F7F7F"/>
      </top>
      <bottom/>
      <diagonal/>
    </border>
    <border>
      <left/>
      <right style="medium">
        <color rgb="FF7F7F7F"/>
      </right>
      <top style="medium">
        <color rgb="FF7F7F7F"/>
      </top>
      <bottom/>
      <diagonal/>
    </border>
    <border>
      <left style="medium">
        <color rgb="FF7F7F7F"/>
      </left>
      <right/>
      <top/>
      <bottom/>
      <diagonal/>
    </border>
    <border>
      <left/>
      <right style="medium">
        <color rgb="FF7F7F7F"/>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style="thin">
        <color rgb="FF000000"/>
      </left>
      <right style="thin">
        <color rgb="FF808080"/>
      </right>
      <top style="thin">
        <color rgb="FF808080"/>
      </top>
      <bottom style="thin">
        <color rgb="FF808080"/>
      </bottom>
      <diagonal/>
    </border>
    <border>
      <left style="thin">
        <color rgb="FF000000"/>
      </left>
      <right style="thin">
        <color rgb="FF808080"/>
      </right>
      <top style="thin">
        <color rgb="FF808080"/>
      </top>
      <bottom style="thin">
        <color rgb="FF000000"/>
      </bottom>
      <diagonal/>
    </border>
    <border>
      <left/>
      <right/>
      <top style="thin">
        <color rgb="FFBFBFBF"/>
      </top>
      <bottom/>
      <diagonal/>
    </border>
    <border>
      <left/>
      <right style="thin">
        <color rgb="FFBFBFBF"/>
      </right>
      <top style="thin">
        <color rgb="FFBFBFBF"/>
      </top>
      <bottom/>
      <diagonal/>
    </border>
    <border>
      <left style="thin">
        <color rgb="FF000000"/>
      </left>
      <right/>
      <top/>
      <bottom/>
      <diagonal/>
    </border>
    <border>
      <left/>
      <right/>
      <top style="thin">
        <color rgb="FF808080"/>
      </top>
      <bottom/>
      <diagonal/>
    </border>
    <border>
      <left/>
      <right style="thin">
        <color rgb="FF000000"/>
      </right>
      <top/>
      <bottom/>
      <diagonal/>
    </border>
    <border>
      <left style="thin">
        <color rgb="00BFBFBF"/>
      </left>
      <right style="thin">
        <color rgb="00BFBFBF"/>
      </right>
      <top style="thin">
        <color rgb="00BFBFBF"/>
      </top>
      <bottom style="thin">
        <color rgb="00BFBFBF"/>
      </bottom>
    </border>
    <border/>
  </borders>
  <cellStyleXfs count="2">
    <xf numFmtId="0" fontId="0" fillId="0" borderId="0"/>
    <xf numFmtId="0" fontId="40" fillId="0" borderId="0" applyAlignment="1">
      <alignment vertical="center"/>
    </xf>
  </cellStyleXfs>
  <cellXfs count="448">
    <xf numFmtId="0" fontId="0" fillId="0" borderId="0" pivotButton="0" quotePrefix="0" xfId="0"/>
    <xf numFmtId="0" fontId="0" fillId="0" borderId="1" pivotButton="0" quotePrefix="0" xfId="0"/>
    <xf numFmtId="0" fontId="3" fillId="0" borderId="0" pivotButton="0" quotePrefix="0" xfId="0"/>
    <xf numFmtId="0" fontId="4" fillId="0" borderId="0" pivotButton="0" quotePrefix="0" xfId="0"/>
    <xf numFmtId="0" fontId="5" fillId="2" borderId="2" applyAlignment="1" pivotButton="0" quotePrefix="0" xfId="0">
      <alignment horizontal="center" vertical="center" wrapText="1"/>
    </xf>
    <xf numFmtId="0" fontId="6" fillId="3" borderId="2" applyAlignment="1" pivotButton="0" quotePrefix="0" xfId="0">
      <alignment horizontal="left" vertical="center" wrapText="1"/>
    </xf>
    <xf numFmtId="0" fontId="7" fillId="0" borderId="2" applyAlignment="1" pivotButton="0" quotePrefix="0" xfId="0">
      <alignment horizontal="left" vertical="center" wrapText="1"/>
    </xf>
    <xf numFmtId="0" fontId="8" fillId="0" borderId="2" applyAlignment="1" pivotButton="0" quotePrefix="0" xfId="0">
      <alignment horizontal="left" vertical="center" wrapText="1"/>
    </xf>
    <xf numFmtId="0" fontId="9" fillId="0" borderId="2" applyAlignment="1" pivotButton="0" quotePrefix="0" xfId="0">
      <alignment horizontal="left" vertical="center" wrapText="1"/>
    </xf>
    <xf numFmtId="0" fontId="12" fillId="0" borderId="0" pivotButton="0" quotePrefix="0" xfId="0"/>
    <xf numFmtId="0" fontId="13" fillId="0" borderId="0" pivotButton="0" quotePrefix="0" xfId="0"/>
    <xf numFmtId="0" fontId="7" fillId="0" borderId="2" applyAlignment="1" pivotButton="0" quotePrefix="0" xfId="0">
      <alignment horizontal="center" vertical="center" wrapText="1"/>
    </xf>
    <xf numFmtId="0" fontId="11" fillId="0" borderId="2" applyAlignment="1" pivotButton="0" quotePrefix="0" xfId="0">
      <alignment horizontal="center" vertical="center" wrapText="1"/>
    </xf>
    <xf numFmtId="0" fontId="9" fillId="0" borderId="2" pivotButton="0" quotePrefix="0" xfId="0"/>
    <xf numFmtId="164" fontId="7" fillId="0" borderId="2" pivotButton="0" quotePrefix="0" xfId="0"/>
    <xf numFmtId="165" fontId="7" fillId="0" borderId="2" pivotButton="0" quotePrefix="0" xfId="0"/>
    <xf numFmtId="0" fontId="8" fillId="3" borderId="2" pivotButton="0" quotePrefix="0" xfId="0"/>
    <xf numFmtId="164" fontId="8" fillId="3" borderId="2" pivotButton="0" quotePrefix="0" xfId="0"/>
    <xf numFmtId="165" fontId="8" fillId="3" borderId="2" pivotButton="0" quotePrefix="0" xfId="0"/>
    <xf numFmtId="0" fontId="10" fillId="0" borderId="2" pivotButton="0" quotePrefix="0" xfId="0"/>
    <xf numFmtId="0" fontId="6" fillId="3" borderId="2" pivotButton="0" quotePrefix="0" xfId="0"/>
    <xf numFmtId="164" fontId="14" fillId="3" borderId="2" pivotButton="0" quotePrefix="0" xfId="0"/>
    <xf numFmtId="165" fontId="14" fillId="3" borderId="2" pivotButton="0" quotePrefix="0" xfId="0"/>
    <xf numFmtId="0" fontId="15" fillId="0" borderId="0" pivotButton="0" quotePrefix="0" xfId="0"/>
    <xf numFmtId="0" fontId="8" fillId="0" borderId="2" applyAlignment="1" pivotButton="0" quotePrefix="0" xfId="0">
      <alignment horizontal="center"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xf>
    <xf numFmtId="164" fontId="7" fillId="0" borderId="2" applyAlignment="1" pivotButton="0" quotePrefix="0" xfId="0">
      <alignment horizontal="right"/>
    </xf>
    <xf numFmtId="164" fontId="14" fillId="3" borderId="2" applyAlignment="1" pivotButton="0" quotePrefix="0" xfId="0">
      <alignment horizontal="right"/>
    </xf>
    <xf numFmtId="164" fontId="6" fillId="3" borderId="2" applyAlignment="1" pivotButton="0" quotePrefix="0" xfId="0">
      <alignment horizontal="right"/>
    </xf>
    <xf numFmtId="165" fontId="10" fillId="0" borderId="2" applyAlignment="1" pivotButton="0" quotePrefix="0" xfId="0">
      <alignment horizontal="right"/>
    </xf>
    <xf numFmtId="164" fontId="10" fillId="0" borderId="2" applyAlignment="1" pivotButton="0" quotePrefix="0" xfId="0">
      <alignment horizontal="right"/>
    </xf>
    <xf numFmtId="164" fontId="10" fillId="0" borderId="2" applyAlignment="1" pivotButton="0" quotePrefix="0" xfId="0">
      <alignment horizontal="center"/>
    </xf>
    <xf numFmtId="166" fontId="7" fillId="0" borderId="2" applyAlignment="1" pivotButton="0" quotePrefix="0" xfId="0">
      <alignment horizontal="right"/>
    </xf>
    <xf numFmtId="0" fontId="9" fillId="0" borderId="2" applyAlignment="1" pivotButton="0" quotePrefix="0" xfId="0">
      <alignment horizontal="center" vertical="center"/>
    </xf>
    <xf numFmtId="165" fontId="9" fillId="0" borderId="2" pivotButton="0" quotePrefix="0" xfId="0"/>
    <xf numFmtId="0" fontId="8" fillId="3" borderId="2" applyAlignment="1" pivotButton="0" quotePrefix="0" xfId="0">
      <alignment horizontal="left" vertical="center" wrapText="1"/>
    </xf>
    <xf numFmtId="165" fontId="6" fillId="3" borderId="2" applyAlignment="1" pivotButton="0" quotePrefix="0" xfId="0">
      <alignment horizontal="center" vertical="center" wrapText="1"/>
    </xf>
    <xf numFmtId="165" fontId="6" fillId="3" borderId="2" applyAlignment="1" pivotButton="0" quotePrefix="0" xfId="0">
      <alignment horizontal="right" vertical="center" wrapText="1"/>
    </xf>
    <xf numFmtId="0" fontId="10" fillId="0" borderId="2" applyAlignment="1" pivotButton="0" quotePrefix="0" xfId="0">
      <alignment horizontal="left" vertical="center"/>
    </xf>
    <xf numFmtId="165" fontId="7" fillId="0" borderId="2" applyAlignment="1" pivotButton="0" quotePrefix="0" xfId="0">
      <alignment horizontal="right" vertical="center"/>
    </xf>
    <xf numFmtId="0" fontId="6" fillId="0" borderId="2" applyAlignment="1" pivotButton="0" quotePrefix="0" xfId="0">
      <alignment horizontal="left" vertical="center"/>
    </xf>
    <xf numFmtId="164" fontId="7" fillId="0" borderId="2" applyAlignment="1" pivotButton="0" quotePrefix="0" xfId="0">
      <alignment horizontal="right" vertical="center"/>
    </xf>
    <xf numFmtId="0" fontId="10" fillId="0" borderId="2" applyAlignment="1" pivotButton="0" quotePrefix="0" xfId="0">
      <alignment horizontal="center" vertical="center"/>
    </xf>
    <xf numFmtId="164" fontId="10" fillId="0" borderId="2" applyAlignment="1" pivotButton="0" quotePrefix="0" xfId="0">
      <alignment horizontal="right" vertical="center"/>
    </xf>
    <xf numFmtId="165" fontId="10" fillId="0" borderId="2" applyAlignment="1" pivotButton="0" quotePrefix="0" xfId="0">
      <alignment horizontal="right" vertical="center"/>
    </xf>
    <xf numFmtId="0" fontId="10" fillId="0" borderId="2" applyAlignment="1" pivotButton="0" quotePrefix="0" xfId="0">
      <alignment horizontal="center" vertical="center" wrapText="1"/>
    </xf>
    <xf numFmtId="164" fontId="7" fillId="0" borderId="2" applyAlignment="1" pivotButton="0" quotePrefix="0" xfId="0">
      <alignment horizontal="right" vertical="center" wrapText="1"/>
    </xf>
    <xf numFmtId="164" fontId="14" fillId="3" borderId="2" applyAlignment="1" pivotButton="0" quotePrefix="0" xfId="0">
      <alignment horizontal="right" vertical="center" wrapText="1"/>
    </xf>
    <xf numFmtId="0" fontId="16" fillId="0" borderId="0" pivotButton="0" quotePrefix="0" xfId="0"/>
    <xf numFmtId="0" fontId="15" fillId="0" borderId="2" applyAlignment="1" pivotButton="0" quotePrefix="0" xfId="0">
      <alignment horizontal="left" vertical="center" wrapText="1"/>
    </xf>
    <xf numFmtId="0" fontId="15" fillId="0" borderId="2" applyAlignment="1" pivotButton="0" quotePrefix="0" xfId="0">
      <alignment horizontal="center" vertical="center" wrapText="1"/>
    </xf>
    <xf numFmtId="0" fontId="6" fillId="0" borderId="2" applyAlignment="1" pivotButton="0" quotePrefix="0" xfId="0">
      <alignment horizontal="left" vertical="center" wrapText="1"/>
    </xf>
    <xf numFmtId="0" fontId="14" fillId="3" borderId="2" applyAlignment="1" pivotButton="0" quotePrefix="0" xfId="0">
      <alignment horizontal="right" vertical="center" wrapText="1"/>
    </xf>
    <xf numFmtId="0" fontId="6" fillId="3" borderId="2" applyAlignment="1" pivotButton="0" quotePrefix="0" xfId="0">
      <alignment horizontal="center" vertical="center" wrapText="1"/>
    </xf>
    <xf numFmtId="0" fontId="17" fillId="0" borderId="0" pivotButton="0" quotePrefix="0" xfId="0"/>
    <xf numFmtId="164" fontId="10" fillId="0" borderId="2" applyAlignment="1" pivotButton="0" quotePrefix="0" xfId="0">
      <alignment horizontal="right" vertical="center" wrapText="1"/>
    </xf>
    <xf numFmtId="164" fontId="7" fillId="0" borderId="2" applyAlignment="1" pivotButton="0" quotePrefix="0" xfId="0">
      <alignment horizontal="center" vertical="center" wrapText="1"/>
    </xf>
    <xf numFmtId="165" fontId="7" fillId="0" borderId="2" applyAlignment="1" pivotButton="0" quotePrefix="0" xfId="0">
      <alignment horizontal="center" vertical="center" wrapText="1"/>
    </xf>
    <xf numFmtId="0" fontId="8" fillId="0" borderId="2" applyAlignment="1" pivotButton="0" quotePrefix="0" xfId="0">
      <alignment horizontal="center" vertical="center"/>
    </xf>
    <xf numFmtId="164" fontId="9" fillId="0" borderId="2" pivotButton="0" quotePrefix="0" xfId="0"/>
    <xf numFmtId="165" fontId="9" fillId="0" borderId="2" applyAlignment="1" pivotButton="0" quotePrefix="0" xfId="0">
      <alignment horizontal="right" vertical="center"/>
    </xf>
    <xf numFmtId="0" fontId="8" fillId="0" borderId="2" pivotButton="0" quotePrefix="0" xfId="0"/>
    <xf numFmtId="164" fontId="7" fillId="6" borderId="2" pivotButton="0" quotePrefix="0" xfId="0"/>
    <xf numFmtId="0" fontId="18" fillId="0" borderId="2" applyAlignment="1" pivotButton="0" quotePrefix="0" xfId="0">
      <alignment horizontal="left" vertical="center"/>
    </xf>
    <xf numFmtId="0" fontId="19" fillId="0" borderId="0" pivotButton="0" quotePrefix="0" xfId="0"/>
    <xf numFmtId="0" fontId="0" fillId="0" borderId="0" pivotButton="0" quotePrefix="0" xfId="0"/>
    <xf numFmtId="0" fontId="5" fillId="2" borderId="2" applyAlignment="1" pivotButton="0" quotePrefix="0" xfId="0">
      <alignment horizontal="center" vertical="center" wrapText="1"/>
    </xf>
    <xf numFmtId="0" fontId="22" fillId="0" borderId="0" applyAlignment="1" pivotButton="0" quotePrefix="0" xfId="0">
      <alignment horizontal="right" vertical="center" wrapText="1"/>
    </xf>
    <xf numFmtId="0" fontId="22" fillId="7" borderId="7" applyAlignment="1" pivotButton="0" quotePrefix="0" xfId="0">
      <alignment horizontal="center" vertical="center" wrapText="1"/>
    </xf>
    <xf numFmtId="0" fontId="22" fillId="0" borderId="0" applyAlignment="1" pivotButton="0" quotePrefix="0" xfId="0">
      <alignment horizontal="center" vertical="center" wrapText="1"/>
    </xf>
    <xf numFmtId="0" fontId="22" fillId="0" borderId="5" applyAlignment="1" pivotButton="0" quotePrefix="0" xfId="0">
      <alignment horizontal="center" vertical="center" wrapText="1"/>
    </xf>
    <xf numFmtId="0" fontId="22" fillId="0" borderId="6" applyAlignment="1" pivotButton="0" quotePrefix="0" xfId="0">
      <alignment horizontal="center" vertical="center" wrapText="1"/>
    </xf>
    <xf numFmtId="0" fontId="22" fillId="0" borderId="7" applyAlignment="1" pivotButton="0" quotePrefix="0" xfId="0">
      <alignment horizontal="center" vertical="center" wrapText="1"/>
    </xf>
    <xf numFmtId="0" fontId="22" fillId="0" borderId="4" applyAlignment="1" pivotButton="0" quotePrefix="0" xfId="0">
      <alignment horizontal="right" vertical="center" wrapText="1"/>
    </xf>
    <xf numFmtId="0" fontId="22" fillId="0" borderId="4" applyAlignment="1" pivotButton="0" quotePrefix="0" xfId="0">
      <alignment horizontal="center" vertical="center" wrapText="1"/>
    </xf>
    <xf numFmtId="0" fontId="22" fillId="7" borderId="17" applyAlignment="1" pivotButton="0" quotePrefix="0" xfId="0">
      <alignment horizontal="center" vertical="center" wrapText="1"/>
    </xf>
    <xf numFmtId="0" fontId="22" fillId="7" borderId="18" applyAlignment="1" pivotButton="0" quotePrefix="0" xfId="0">
      <alignment horizontal="center" vertical="center" wrapText="1"/>
    </xf>
    <xf numFmtId="0" fontId="22" fillId="7" borderId="20" applyAlignment="1" pivotButton="0" quotePrefix="0" xfId="0">
      <alignment horizontal="center" vertical="center" wrapText="1"/>
    </xf>
    <xf numFmtId="0" fontId="22" fillId="0" borderId="22" applyAlignment="1" pivotButton="0" quotePrefix="0" xfId="0">
      <alignment horizontal="right" vertical="center" wrapText="1"/>
    </xf>
    <xf numFmtId="0" fontId="22" fillId="0" borderId="26" applyAlignment="1" pivotButton="0" quotePrefix="0" xfId="0">
      <alignment horizontal="right" vertical="center" wrapText="1"/>
    </xf>
    <xf numFmtId="0" fontId="22" fillId="0" borderId="27" applyAlignment="1" pivotButton="0" quotePrefix="0" xfId="0">
      <alignment horizontal="right" vertical="center" wrapText="1"/>
    </xf>
    <xf numFmtId="0" fontId="23" fillId="0" borderId="0" applyAlignment="1" pivotButton="0" quotePrefix="0" xfId="0">
      <alignment horizontal="justify" vertical="center" wrapText="1"/>
    </xf>
    <xf numFmtId="0" fontId="24" fillId="0" borderId="0" pivotButton="0" quotePrefix="0" xfId="0"/>
    <xf numFmtId="0" fontId="25" fillId="0" borderId="0" applyAlignment="1" pivotButton="0" quotePrefix="0" xfId="0">
      <alignment horizontal="right" vertical="center" wrapText="1"/>
    </xf>
    <xf numFmtId="0" fontId="25" fillId="7" borderId="17" applyAlignment="1" pivotButton="0" quotePrefix="0" xfId="0">
      <alignment horizontal="center" vertical="center" wrapText="1"/>
    </xf>
    <xf numFmtId="0" fontId="25" fillId="7" borderId="18" applyAlignment="1" pivotButton="0" quotePrefix="0" xfId="0">
      <alignment horizontal="center" vertical="center" wrapText="1"/>
    </xf>
    <xf numFmtId="0" fontId="25" fillId="7" borderId="7" applyAlignment="1" pivotButton="0" quotePrefix="0" xfId="0">
      <alignment horizontal="center" vertical="center" wrapText="1"/>
    </xf>
    <xf numFmtId="0" fontId="25" fillId="7" borderId="20" applyAlignment="1" pivotButton="0" quotePrefix="0" xfId="0">
      <alignment horizontal="center" vertical="center" wrapText="1"/>
    </xf>
    <xf numFmtId="0" fontId="25" fillId="7" borderId="4" applyAlignment="1" pivotButton="0" quotePrefix="0" xfId="0">
      <alignment horizontal="center" vertical="top" wrapText="1"/>
    </xf>
    <xf numFmtId="0" fontId="25" fillId="7" borderId="22" applyAlignment="1" pivotButton="0" quotePrefix="0" xfId="0">
      <alignment horizontal="center" vertical="top" wrapText="1"/>
    </xf>
    <xf numFmtId="0" fontId="25" fillId="0" borderId="5" applyAlignment="1" pivotButton="0" quotePrefix="0" xfId="0">
      <alignment horizontal="center" vertical="center" wrapText="1"/>
    </xf>
    <xf numFmtId="0" fontId="25" fillId="0" borderId="4" applyAlignment="1" pivotButton="0" quotePrefix="0" xfId="0">
      <alignment horizontal="center" vertical="top" wrapText="1"/>
    </xf>
    <xf numFmtId="0" fontId="25" fillId="0" borderId="4" applyAlignment="1" pivotButton="0" quotePrefix="0" xfId="0">
      <alignment horizontal="right" vertical="center" wrapText="1"/>
    </xf>
    <xf numFmtId="0" fontId="25" fillId="0" borderId="22" applyAlignment="1" pivotButton="0" quotePrefix="0" xfId="0">
      <alignment horizontal="right" vertical="center" wrapText="1"/>
    </xf>
    <xf numFmtId="0" fontId="25" fillId="0" borderId="6" applyAlignment="1" pivotButton="0" quotePrefix="0" xfId="0">
      <alignment horizontal="center" vertical="center" wrapText="1"/>
    </xf>
    <xf numFmtId="0" fontId="25" fillId="0" borderId="7" applyAlignment="1" pivotButton="0" quotePrefix="0" xfId="0">
      <alignment horizontal="center" vertical="center" wrapText="1"/>
    </xf>
    <xf numFmtId="0" fontId="25" fillId="0" borderId="4" applyAlignment="1" pivotButton="0" quotePrefix="0" xfId="0">
      <alignment horizontal="center" vertical="center" wrapText="1"/>
    </xf>
    <xf numFmtId="0" fontId="25" fillId="0" borderId="26" applyAlignment="1" pivotButton="0" quotePrefix="0" xfId="0">
      <alignment horizontal="center" vertical="top" wrapText="1"/>
    </xf>
    <xf numFmtId="0" fontId="25" fillId="0" borderId="26" applyAlignment="1" pivotButton="0" quotePrefix="0" xfId="0">
      <alignment horizontal="right" vertical="center" wrapText="1"/>
    </xf>
    <xf numFmtId="0" fontId="21" fillId="0" borderId="0" pivotButton="0" quotePrefix="0" xfId="0"/>
    <xf numFmtId="3" fontId="22" fillId="0" borderId="4" applyAlignment="1" pivotButton="0" quotePrefix="0" xfId="0">
      <alignment horizontal="right" vertical="center" wrapText="1"/>
    </xf>
    <xf numFmtId="3" fontId="22" fillId="0" borderId="22" applyAlignment="1" pivotButton="0" quotePrefix="0" xfId="0">
      <alignment horizontal="right" vertical="center" wrapText="1"/>
    </xf>
    <xf numFmtId="0" fontId="22" fillId="0" borderId="26" applyAlignment="1" pivotButton="0" quotePrefix="0" xfId="0">
      <alignment horizontal="center" vertical="center" wrapText="1"/>
    </xf>
    <xf numFmtId="0" fontId="25" fillId="7" borderId="4" applyAlignment="1" pivotButton="0" quotePrefix="0" xfId="0">
      <alignment horizontal="center" vertical="center" wrapText="1"/>
    </xf>
    <xf numFmtId="0" fontId="25" fillId="7" borderId="22" applyAlignment="1" pivotButton="0" quotePrefix="0" xfId="0">
      <alignment horizontal="center" vertical="center" wrapText="1"/>
    </xf>
    <xf numFmtId="3" fontId="25" fillId="0" borderId="4" applyAlignment="1" pivotButton="0" quotePrefix="0" xfId="0">
      <alignment horizontal="right" vertical="center" wrapText="1"/>
    </xf>
    <xf numFmtId="3" fontId="25" fillId="0" borderId="22" applyAlignment="1" pivotButton="0" quotePrefix="0" xfId="0">
      <alignment horizontal="right" vertical="center" wrapText="1"/>
    </xf>
    <xf numFmtId="0" fontId="25" fillId="0" borderId="23" applyAlignment="1" pivotButton="0" quotePrefix="0" xfId="0">
      <alignment horizontal="center" vertical="center" wrapText="1"/>
    </xf>
    <xf numFmtId="0" fontId="25" fillId="0" borderId="19" applyAlignment="1" pivotButton="0" quotePrefix="0" xfId="0">
      <alignment horizontal="center" vertical="center" wrapText="1"/>
    </xf>
    <xf numFmtId="0" fontId="25" fillId="0" borderId="21" applyAlignment="1" pivotButton="0" quotePrefix="0" xfId="0">
      <alignment horizontal="center" vertical="center" wrapText="1"/>
    </xf>
    <xf numFmtId="0" fontId="25" fillId="0" borderId="26" applyAlignment="1" pivotButton="0" quotePrefix="0" xfId="0">
      <alignment horizontal="center" vertical="center" wrapText="1"/>
    </xf>
    <xf numFmtId="3" fontId="25" fillId="0" borderId="26" applyAlignment="1" pivotButton="0" quotePrefix="0" xfId="0">
      <alignment horizontal="right" vertical="center" wrapText="1"/>
    </xf>
    <xf numFmtId="3" fontId="25" fillId="0" borderId="27" applyAlignment="1" pivotButton="0" quotePrefix="0" xfId="0">
      <alignment horizontal="right" vertical="center" wrapText="1"/>
    </xf>
    <xf numFmtId="3" fontId="9" fillId="0" borderId="2" pivotButton="0" quotePrefix="0" xfId="0"/>
    <xf numFmtId="165" fontId="14" fillId="0" borderId="2" applyAlignment="1" pivotButton="0" quotePrefix="0" xfId="0">
      <alignment horizontal="right" vertical="center"/>
    </xf>
    <xf numFmtId="0" fontId="26" fillId="0" borderId="0" applyAlignment="1" pivotButton="0" quotePrefix="0" xfId="0">
      <alignment horizontal="justify" vertical="center" wrapText="1"/>
    </xf>
    <xf numFmtId="0" fontId="0" fillId="0" borderId="0" applyAlignment="1" pivotButton="0" quotePrefix="0" xfId="0">
      <alignment vertical="center" wrapText="1"/>
    </xf>
    <xf numFmtId="0" fontId="22" fillId="0" borderId="0" applyAlignment="1" pivotButton="0" quotePrefix="0" xfId="0">
      <alignment vertical="center" wrapText="1"/>
    </xf>
    <xf numFmtId="31" fontId="22" fillId="0" borderId="0" applyAlignment="1" pivotButton="0" quotePrefix="0" xfId="0">
      <alignment horizontal="center" vertical="center" wrapText="1"/>
    </xf>
    <xf numFmtId="0" fontId="22" fillId="8" borderId="7" applyAlignment="1" pivotButton="0" quotePrefix="0" xfId="0">
      <alignment horizontal="center" vertical="center" wrapText="1"/>
    </xf>
    <xf numFmtId="3" fontId="22" fillId="0" borderId="4" applyAlignment="1" pivotButton="0" quotePrefix="0" xfId="0">
      <alignment horizontal="right" vertical="top" wrapText="1"/>
    </xf>
    <xf numFmtId="0" fontId="22" fillId="8" borderId="17" applyAlignment="1" pivotButton="0" quotePrefix="0" xfId="0">
      <alignment horizontal="center" vertical="center" wrapText="1"/>
    </xf>
    <xf numFmtId="3" fontId="22" fillId="0" borderId="26" applyAlignment="1" pivotButton="0" quotePrefix="0" xfId="0">
      <alignment horizontal="right" vertical="top" wrapText="1"/>
    </xf>
    <xf numFmtId="0" fontId="0" fillId="0" borderId="0" applyAlignment="1" pivotButton="0" quotePrefix="0" xfId="0">
      <alignment vertical="top" wrapText="1"/>
    </xf>
    <xf numFmtId="0" fontId="22" fillId="0" borderId="0" applyAlignment="1" pivotButton="0" quotePrefix="0" xfId="0">
      <alignment vertical="top" wrapText="1"/>
    </xf>
    <xf numFmtId="0" fontId="22" fillId="0" borderId="30" applyAlignment="1" pivotButton="0" quotePrefix="0" xfId="0">
      <alignment vertical="center" wrapText="1"/>
    </xf>
    <xf numFmtId="0" fontId="22" fillId="0" borderId="38" applyAlignment="1" pivotButton="0" quotePrefix="0" xfId="0">
      <alignment vertical="center" wrapText="1"/>
    </xf>
    <xf numFmtId="0" fontId="0" fillId="0" borderId="30" applyAlignment="1" pivotButton="0" quotePrefix="0" xfId="0">
      <alignment vertical="center" wrapText="1"/>
    </xf>
    <xf numFmtId="0" fontId="0" fillId="0" borderId="38" applyAlignment="1" pivotButton="0" quotePrefix="0" xfId="0">
      <alignment vertical="top" wrapText="1"/>
    </xf>
    <xf numFmtId="0" fontId="22" fillId="0" borderId="30" applyAlignment="1" pivotButton="0" quotePrefix="0" xfId="0">
      <alignment vertical="top" wrapText="1"/>
    </xf>
    <xf numFmtId="0" fontId="22" fillId="0" borderId="36" applyAlignment="1" pivotButton="0" quotePrefix="0" xfId="0">
      <alignment horizontal="center" vertical="center" wrapText="1"/>
    </xf>
    <xf numFmtId="0" fontId="22" fillId="0" borderId="0" applyAlignment="1" pivotButton="0" quotePrefix="0" xfId="0">
      <alignment vertical="center"/>
    </xf>
    <xf numFmtId="0" fontId="22" fillId="8" borderId="14" applyAlignment="1" pivotButton="0" quotePrefix="0" xfId="0">
      <alignment vertical="center" wrapText="1"/>
    </xf>
    <xf numFmtId="0" fontId="22" fillId="8" borderId="21" applyAlignment="1" pivotButton="0" quotePrefix="0" xfId="0">
      <alignment vertical="center" wrapText="1"/>
    </xf>
    <xf numFmtId="0" fontId="22" fillId="8" borderId="17" applyAlignment="1" pivotButton="0" quotePrefix="0" xfId="0">
      <alignment vertical="center" wrapText="1"/>
    </xf>
    <xf numFmtId="0" fontId="22" fillId="8" borderId="7" applyAlignment="1" pivotButton="0" quotePrefix="0" xfId="0">
      <alignment vertical="center" wrapText="1"/>
    </xf>
    <xf numFmtId="0" fontId="22" fillId="8" borderId="18" applyAlignment="1" pivotButton="0" quotePrefix="0" xfId="0">
      <alignment vertical="center" wrapText="1"/>
    </xf>
    <xf numFmtId="0" fontId="22" fillId="8" borderId="20" applyAlignment="1" pivotButton="0" quotePrefix="0" xfId="0">
      <alignment vertical="center" wrapText="1"/>
    </xf>
    <xf numFmtId="0" fontId="22" fillId="0" borderId="23" applyAlignment="1" pivotButton="0" quotePrefix="0" xfId="0">
      <alignment vertical="center" wrapText="1"/>
    </xf>
    <xf numFmtId="0" fontId="22" fillId="0" borderId="19" applyAlignment="1" pivotButton="0" quotePrefix="0" xfId="0">
      <alignment vertical="center" wrapText="1"/>
    </xf>
    <xf numFmtId="0" fontId="22" fillId="0" borderId="21" applyAlignment="1" pivotButton="0" quotePrefix="0" xfId="0">
      <alignment vertical="center" wrapText="1"/>
    </xf>
    <xf numFmtId="0" fontId="22" fillId="0" borderId="4" applyAlignment="1" pivotButton="0" quotePrefix="0" xfId="0">
      <alignment vertical="center" wrapText="1"/>
    </xf>
    <xf numFmtId="0" fontId="22" fillId="0" borderId="31" applyAlignment="1" pivotButton="0" quotePrefix="0" xfId="0">
      <alignment vertical="center" wrapText="1"/>
    </xf>
    <xf numFmtId="3" fontId="22" fillId="0" borderId="4" applyAlignment="1" pivotButton="0" quotePrefix="0" xfId="0">
      <alignment vertical="center" wrapText="1"/>
    </xf>
    <xf numFmtId="3" fontId="22" fillId="0" borderId="4" applyAlignment="1" pivotButton="0" quotePrefix="0" xfId="0">
      <alignment vertical="top" wrapText="1"/>
    </xf>
    <xf numFmtId="0" fontId="22" fillId="0" borderId="5" applyAlignment="1" pivotButton="0" quotePrefix="0" xfId="0">
      <alignment vertical="center" wrapText="1"/>
    </xf>
    <xf numFmtId="0" fontId="22" fillId="0" borderId="7" applyAlignment="1" pivotButton="0" quotePrefix="0" xfId="0">
      <alignment vertical="center" wrapText="1"/>
    </xf>
    <xf numFmtId="0" fontId="22" fillId="7" borderId="33" applyAlignment="1" pivotButton="0" quotePrefix="0" xfId="0">
      <alignment vertical="center" wrapText="1"/>
    </xf>
    <xf numFmtId="0" fontId="22" fillId="7" borderId="34" applyAlignment="1" pivotButton="0" quotePrefix="0" xfId="0">
      <alignment vertical="center" wrapText="1"/>
    </xf>
    <xf numFmtId="0" fontId="0" fillId="0" borderId="0" pivotButton="0" quotePrefix="0" xfId="0"/>
    <xf numFmtId="0" fontId="22" fillId="7" borderId="32" applyAlignment="1" pivotButton="0" quotePrefix="0" xfId="0">
      <alignment vertical="center" wrapText="1"/>
    </xf>
    <xf numFmtId="0" fontId="22" fillId="0" borderId="36" applyAlignment="1" pivotButton="0" quotePrefix="0" xfId="0">
      <alignment vertical="center" wrapText="1"/>
    </xf>
    <xf numFmtId="0" fontId="22" fillId="0" borderId="35" applyAlignment="1" pivotButton="0" quotePrefix="0" xfId="0">
      <alignment vertical="top"/>
    </xf>
    <xf numFmtId="0" fontId="22" fillId="0" borderId="20" applyAlignment="1" pivotButton="0" quotePrefix="0" xfId="0">
      <alignment vertical="top"/>
    </xf>
    <xf numFmtId="0" fontId="22" fillId="0" borderId="22" applyAlignment="1" pivotButton="0" quotePrefix="0" xfId="0">
      <alignment vertical="top"/>
    </xf>
    <xf numFmtId="0" fontId="22" fillId="0" borderId="27" applyAlignment="1" pivotButton="0" quotePrefix="0" xfId="0">
      <alignment vertical="top"/>
    </xf>
    <xf numFmtId="0" fontId="22" fillId="0" borderId="0" applyAlignment="1" pivotButton="0" quotePrefix="0" xfId="0">
      <alignment vertical="top"/>
    </xf>
    <xf numFmtId="0" fontId="22" fillId="0" borderId="37" applyAlignment="1" pivotButton="0" quotePrefix="0" xfId="0">
      <alignment vertical="top"/>
    </xf>
    <xf numFmtId="0" fontId="22" fillId="0" borderId="30" applyAlignment="1" pivotButton="0" quotePrefix="0" xfId="0">
      <alignment vertical="top"/>
    </xf>
    <xf numFmtId="0" fontId="0" fillId="0" borderId="0" applyAlignment="1" pivotButton="0" quotePrefix="0" xfId="0">
      <alignment vertical="top"/>
    </xf>
    <xf numFmtId="0" fontId="22" fillId="0" borderId="38" applyAlignment="1" pivotButton="0" quotePrefix="0" xfId="0">
      <alignment vertical="center"/>
    </xf>
    <xf numFmtId="0" fontId="26" fillId="0" borderId="0" applyAlignment="1" pivotButton="0" quotePrefix="0" xfId="0">
      <alignment horizontal="justify" vertical="center"/>
    </xf>
    <xf numFmtId="0" fontId="26" fillId="0" borderId="0" applyAlignment="1" pivotButton="0" quotePrefix="0" xfId="0">
      <alignment horizontal="left" vertical="top"/>
    </xf>
    <xf numFmtId="0" fontId="21" fillId="0" borderId="0" applyAlignment="1" pivotButton="0" quotePrefix="0" xfId="0">
      <alignment horizontal="left" vertical="center"/>
    </xf>
    <xf numFmtId="0" fontId="0" fillId="0" borderId="0" applyAlignment="1" pivotButton="0" quotePrefix="0" xfId="0">
      <alignment horizontal="justify" vertical="center"/>
    </xf>
    <xf numFmtId="0" fontId="26" fillId="0" borderId="0" pivotButton="0" quotePrefix="0" xfId="0"/>
    <xf numFmtId="0" fontId="27" fillId="9" borderId="7" applyAlignment="1" pivotButton="0" quotePrefix="0" xfId="0">
      <alignment horizontal="center" vertical="center" wrapText="1"/>
    </xf>
    <xf numFmtId="0" fontId="0" fillId="0" borderId="7" applyAlignment="1" pivotButton="0" quotePrefix="0" xfId="0">
      <alignment vertical="center" wrapText="1"/>
    </xf>
    <xf numFmtId="0" fontId="0" fillId="0" borderId="7" applyAlignment="1" pivotButton="0" quotePrefix="0" xfId="0">
      <alignment horizontal="center" vertical="center" wrapText="1"/>
    </xf>
    <xf numFmtId="0" fontId="27" fillId="9" borderId="17" applyAlignment="1" pivotButton="0" quotePrefix="0" xfId="0">
      <alignment horizontal="center" vertical="center" wrapText="1"/>
    </xf>
    <xf numFmtId="0" fontId="26" fillId="0" borderId="0" applyAlignment="1" pivotButton="0" quotePrefix="0" xfId="0">
      <alignment horizontal="left" vertical="center"/>
    </xf>
    <xf numFmtId="0" fontId="22" fillId="10" borderId="5" applyAlignment="1" pivotButton="0" quotePrefix="0" xfId="0">
      <alignment horizontal="center" vertical="center" wrapText="1"/>
    </xf>
    <xf numFmtId="0" fontId="22" fillId="10" borderId="6" applyAlignment="1" pivotButton="0" quotePrefix="0" xfId="0">
      <alignment horizontal="center" vertical="center" wrapText="1"/>
    </xf>
    <xf numFmtId="0" fontId="22" fillId="10" borderId="7" applyAlignment="1" pivotButton="0" quotePrefix="0" xfId="0">
      <alignment horizontal="center" vertical="center" wrapText="1"/>
    </xf>
    <xf numFmtId="0" fontId="0" fillId="10" borderId="7" applyAlignment="1" pivotButton="0" quotePrefix="0" xfId="0">
      <alignment horizontal="center" vertical="center" wrapText="1"/>
    </xf>
    <xf numFmtId="0" fontId="22" fillId="8" borderId="42" applyAlignment="1" pivotButton="0" quotePrefix="0" xfId="0">
      <alignment horizontal="center" vertical="center" wrapText="1"/>
    </xf>
    <xf numFmtId="0" fontId="22" fillId="8" borderId="43" applyAlignment="1" pivotButton="0" quotePrefix="0" xfId="0">
      <alignment horizontal="center" vertical="center" wrapText="1"/>
    </xf>
    <xf numFmtId="0" fontId="22" fillId="7" borderId="48" applyAlignment="1" pivotButton="0" quotePrefix="0" xfId="0">
      <alignment vertical="center" wrapText="1"/>
    </xf>
    <xf numFmtId="0" fontId="22" fillId="7" borderId="16" applyAlignment="1" pivotButton="0" quotePrefix="0" xfId="0">
      <alignment vertical="center" wrapText="1"/>
    </xf>
    <xf numFmtId="0" fontId="22" fillId="7" borderId="49" applyAlignment="1" pivotButton="0" quotePrefix="0" xfId="0">
      <alignment vertical="center" wrapText="1"/>
    </xf>
    <xf numFmtId="0" fontId="22" fillId="7" borderId="12" applyAlignment="1" pivotButton="0" quotePrefix="0" xfId="0">
      <alignment vertical="center" wrapText="1"/>
    </xf>
    <xf numFmtId="10" fontId="22" fillId="0" borderId="35" applyAlignment="1" pivotButton="0" quotePrefix="0" xfId="0">
      <alignment vertical="center" wrapText="1"/>
    </xf>
    <xf numFmtId="0" fontId="22" fillId="0" borderId="47" applyAlignment="1" pivotButton="0" quotePrefix="0" xfId="0">
      <alignment vertical="center" wrapText="1"/>
    </xf>
    <xf numFmtId="10" fontId="22" fillId="0" borderId="37" applyAlignment="1" pivotButton="0" quotePrefix="0" xfId="0">
      <alignment vertical="center" wrapText="1"/>
    </xf>
    <xf numFmtId="0" fontId="22" fillId="0" borderId="44" applyAlignment="1" pivotButton="0" quotePrefix="0" xfId="0">
      <alignment vertical="center" wrapText="1"/>
    </xf>
    <xf numFmtId="0" fontId="22" fillId="0" borderId="13" applyAlignment="1" pivotButton="0" quotePrefix="0" xfId="0">
      <alignment vertical="center" wrapText="1"/>
    </xf>
    <xf numFmtId="0" fontId="22" fillId="0" borderId="8" applyAlignment="1" pivotButton="0" quotePrefix="0" xfId="0">
      <alignment vertical="center" wrapText="1"/>
    </xf>
    <xf numFmtId="0" fontId="22" fillId="0" borderId="45" applyAlignment="1" pivotButton="0" quotePrefix="0" xfId="0">
      <alignment horizontal="left" vertical="center"/>
    </xf>
    <xf numFmtId="0" fontId="22" fillId="0" borderId="46" applyAlignment="1" pivotButton="0" quotePrefix="0" xfId="0">
      <alignment horizontal="left" vertical="center"/>
    </xf>
    <xf numFmtId="10" fontId="22" fillId="0" borderId="5" applyAlignment="1" pivotButton="0" quotePrefix="0" xfId="0">
      <alignment vertical="center" wrapText="1"/>
    </xf>
    <xf numFmtId="10" fontId="22" fillId="0" borderId="36" applyAlignment="1" pivotButton="0" quotePrefix="0" xfId="0">
      <alignment vertical="center" wrapText="1"/>
    </xf>
    <xf numFmtId="0" fontId="22" fillId="8" borderId="40" applyAlignment="1" pivotButton="0" quotePrefix="0" xfId="0">
      <alignment vertical="center" wrapText="1"/>
    </xf>
    <xf numFmtId="0" fontId="22" fillId="8" borderId="41" applyAlignment="1" pivotButton="0" quotePrefix="0" xfId="0">
      <alignment vertical="center" wrapText="1"/>
    </xf>
    <xf numFmtId="0" fontId="22" fillId="0" borderId="46" applyAlignment="1" pivotButton="0" quotePrefix="0" xfId="0">
      <alignment vertical="center"/>
    </xf>
    <xf numFmtId="3" fontId="22" fillId="0" borderId="22" applyAlignment="1" pivotButton="0" quotePrefix="0" xfId="0">
      <alignment vertical="center" wrapText="1"/>
    </xf>
    <xf numFmtId="165" fontId="9" fillId="0" borderId="2" applyAlignment="1" pivotButton="0" quotePrefix="0" xfId="0">
      <alignment horizontal="right" vertical="center" wrapText="1"/>
    </xf>
    <xf numFmtId="164" fontId="9" fillId="0" borderId="2" applyAlignment="1" pivotButton="0" quotePrefix="0" xfId="0">
      <alignment horizontal="right" vertical="center" wrapText="1"/>
    </xf>
    <xf numFmtId="0" fontId="8" fillId="11" borderId="2" applyAlignment="1" pivotButton="0" quotePrefix="0" xfId="0">
      <alignment horizontal="left" vertical="center" wrapText="1"/>
    </xf>
    <xf numFmtId="164" fontId="9" fillId="11" borderId="2" applyAlignment="1" pivotButton="0" quotePrefix="0" xfId="0">
      <alignment horizontal="right" vertical="center" wrapText="1"/>
    </xf>
    <xf numFmtId="0" fontId="10" fillId="0" borderId="50" applyAlignment="1" pivotButton="0" quotePrefix="0" xfId="0">
      <alignment horizontal="center" vertical="center" wrapText="1"/>
    </xf>
    <xf numFmtId="0" fontId="5" fillId="2" borderId="50" applyAlignment="1" pivotButton="0" quotePrefix="0" xfId="0">
      <alignment horizontal="center" vertical="center" wrapText="1"/>
    </xf>
    <xf numFmtId="0" fontId="29" fillId="0" borderId="0" pivotButton="0" quotePrefix="0" xfId="0"/>
    <xf numFmtId="0" fontId="30" fillId="0" borderId="0" pivotButton="0" quotePrefix="0" xfId="0"/>
    <xf numFmtId="0" fontId="31" fillId="0" borderId="0" pivotButton="0" quotePrefix="0" xfId="0"/>
    <xf numFmtId="0" fontId="32" fillId="2" borderId="2" applyAlignment="1" pivotButton="0" quotePrefix="0" xfId="0">
      <alignment horizontal="center" vertical="center" wrapText="1"/>
    </xf>
    <xf numFmtId="0" fontId="33" fillId="0" borderId="2" applyAlignment="1" pivotButton="0" quotePrefix="0" xfId="0">
      <alignment horizontal="left" vertical="center" wrapText="1"/>
    </xf>
    <xf numFmtId="0" fontId="34" fillId="0" borderId="2" applyAlignment="1" pivotButton="0" quotePrefix="0" xfId="0">
      <alignment horizontal="center" vertical="center" wrapText="1"/>
    </xf>
    <xf numFmtId="0" fontId="30" fillId="0" borderId="0" pivotButton="0" quotePrefix="1" xfId="0"/>
    <xf numFmtId="0" fontId="35" fillId="0" borderId="0" pivotButton="0" quotePrefix="0" xfId="0"/>
    <xf numFmtId="0" fontId="33" fillId="0" borderId="2" applyAlignment="1" pivotButton="0" quotePrefix="0" xfId="0">
      <alignment horizontal="left" vertical="center" wrapText="1" indent="1"/>
    </xf>
    <xf numFmtId="0" fontId="34" fillId="0" borderId="0" applyAlignment="1" pivotButton="0" quotePrefix="0" xfId="0">
      <alignment horizontal="center" vertical="center" wrapText="1"/>
    </xf>
    <xf numFmtId="0" fontId="36" fillId="3" borderId="2" applyAlignment="1" pivotButton="0" quotePrefix="0" xfId="0">
      <alignment horizontal="left" vertical="center" wrapText="1"/>
    </xf>
    <xf numFmtId="165" fontId="37" fillId="3" borderId="2" applyAlignment="1" pivotButton="0" quotePrefix="0" xfId="0">
      <alignment horizontal="right" vertical="center" wrapText="1"/>
    </xf>
    <xf numFmtId="0" fontId="38" fillId="0" borderId="0" pivotButton="0" quotePrefix="0" xfId="0"/>
    <xf numFmtId="0" fontId="33" fillId="0" borderId="2" applyAlignment="1" pivotButton="0" quotePrefix="0" xfId="0">
      <alignment horizontal="center" vertical="center" wrapText="1"/>
    </xf>
    <xf numFmtId="0" fontId="34" fillId="0" borderId="2" applyAlignment="1" pivotButton="0" quotePrefix="0" xfId="0">
      <alignment horizontal="right" vertical="center" wrapText="1"/>
    </xf>
    <xf numFmtId="10" fontId="34" fillId="0" borderId="2" applyAlignment="1" pivotButton="0" quotePrefix="0" xfId="0">
      <alignment horizontal="right" vertical="center" wrapText="1"/>
    </xf>
    <xf numFmtId="3" fontId="34" fillId="0" borderId="2" applyAlignment="1" pivotButton="0" quotePrefix="0" xfId="0">
      <alignment horizontal="right" vertical="center" wrapText="1"/>
    </xf>
    <xf numFmtId="0" fontId="34" fillId="0" borderId="0" applyAlignment="1" pivotButton="0" quotePrefix="1" xfId="0">
      <alignment horizontal="center" vertical="center" wrapText="1"/>
    </xf>
    <xf numFmtId="0" fontId="39" fillId="0" borderId="0" pivotButton="0" quotePrefix="0" xfId="0"/>
    <xf numFmtId="0" fontId="33" fillId="11" borderId="2" applyAlignment="1" pivotButton="0" quotePrefix="0" xfId="0">
      <alignment horizontal="left" vertical="center" wrapText="1"/>
    </xf>
    <xf numFmtId="0" fontId="33" fillId="11" borderId="2" applyAlignment="1" pivotButton="0" quotePrefix="0" xfId="0">
      <alignment horizontal="center" vertical="center" wrapText="1"/>
    </xf>
    <xf numFmtId="3" fontId="33" fillId="11" borderId="2" applyAlignment="1" pivotButton="0" quotePrefix="0" xfId="0">
      <alignment horizontal="right" vertical="center" wrapText="1"/>
    </xf>
    <xf numFmtId="10" fontId="33" fillId="11" borderId="2" applyAlignment="1" pivotButton="0" quotePrefix="0" xfId="0">
      <alignment horizontal="right" vertical="center" wrapText="1"/>
    </xf>
    <xf numFmtId="0" fontId="34" fillId="0" borderId="2" applyAlignment="1" pivotButton="0" quotePrefix="0" xfId="0">
      <alignment horizontal="left" vertical="center" wrapText="1" indent="1"/>
    </xf>
    <xf numFmtId="167" fontId="33" fillId="11" borderId="2" applyAlignment="1" pivotButton="0" quotePrefix="0" xfId="0">
      <alignment horizontal="right" vertical="center" wrapText="1"/>
    </xf>
    <xf numFmtId="0" fontId="34" fillId="10" borderId="2" applyAlignment="1" pivotButton="0" quotePrefix="0" xfId="0">
      <alignment horizontal="left" vertical="center" wrapText="1" indent="1"/>
    </xf>
    <xf numFmtId="0" fontId="34" fillId="10" borderId="2" applyAlignment="1" pivotButton="0" quotePrefix="0" xfId="0">
      <alignment horizontal="center" vertical="center" wrapText="1"/>
    </xf>
    <xf numFmtId="3" fontId="34" fillId="10" borderId="2" applyAlignment="1" pivotButton="0" quotePrefix="0" xfId="0">
      <alignment horizontal="right" vertical="center" wrapText="1"/>
    </xf>
    <xf numFmtId="167" fontId="34" fillId="0" borderId="2" applyAlignment="1" pivotButton="0" quotePrefix="0" xfId="0">
      <alignment horizontal="right" vertical="center" wrapText="1"/>
    </xf>
    <xf numFmtId="167" fontId="34" fillId="10" borderId="2" applyAlignment="1" pivotButton="0" quotePrefix="0" xfId="0">
      <alignment horizontal="right" vertical="center" wrapText="1"/>
    </xf>
    <xf numFmtId="0" fontId="30" fillId="0" borderId="0" applyAlignment="1" pivotButton="0" quotePrefix="0" xfId="0">
      <alignment vertical="center"/>
    </xf>
    <xf numFmtId="0" fontId="33" fillId="0" borderId="0" applyAlignment="1" pivotButton="0" quotePrefix="0" xfId="0">
      <alignment horizontal="center" vertical="center" wrapText="1"/>
    </xf>
    <xf numFmtId="0" fontId="34" fillId="0" borderId="0" applyAlignment="1" pivotButton="0" quotePrefix="0" xfId="0">
      <alignment horizontal="left" vertical="center"/>
    </xf>
    <xf numFmtId="9" fontId="30" fillId="0" borderId="0" applyAlignment="1" pivotButton="0" quotePrefix="0" xfId="0">
      <alignment horizontal="left" vertical="center"/>
    </xf>
    <xf numFmtId="0" fontId="30" fillId="0" borderId="0" applyAlignment="1" pivotButton="0" quotePrefix="0" xfId="0">
      <alignment vertical="center"/>
    </xf>
    <xf numFmtId="0" fontId="30" fillId="0" borderId="0" pivotButton="0" quotePrefix="0" xfId="0"/>
    <xf numFmtId="0" fontId="32" fillId="2" borderId="51" applyAlignment="1" pivotButton="0" quotePrefix="0" xfId="0">
      <alignment horizontal="center" vertical="center" wrapText="1"/>
    </xf>
    <xf numFmtId="12" fontId="32" fillId="2" borderId="51" applyAlignment="1" pivotButton="0" quotePrefix="0" xfId="0">
      <alignment horizontal="centerContinuous" vertical="center" wrapText="1"/>
    </xf>
    <xf numFmtId="0" fontId="33" fillId="0" borderId="0" applyAlignment="1" pivotButton="0" quotePrefix="1" xfId="0">
      <alignment horizontal="left" vertical="center"/>
    </xf>
    <xf numFmtId="0" fontId="40" fillId="0" borderId="0" applyAlignment="1" pivotButton="0" quotePrefix="0" xfId="1">
      <alignment vertical="center"/>
    </xf>
    <xf numFmtId="3" fontId="41" fillId="0" borderId="52" applyAlignment="1" pivotButton="0" quotePrefix="0" xfId="1">
      <alignment horizontal="right" vertical="center"/>
    </xf>
    <xf numFmtId="4" fontId="41" fillId="0" borderId="52" applyAlignment="1" pivotButton="0" quotePrefix="0" xfId="1">
      <alignment horizontal="right" vertical="center"/>
    </xf>
    <xf numFmtId="0" fontId="42" fillId="12" borderId="52" applyAlignment="1" pivotButton="0" quotePrefix="0" xfId="1">
      <alignment horizontal="center" vertical="center"/>
    </xf>
    <xf numFmtId="0" fontId="43" fillId="0" borderId="54" applyAlignment="1" pivotButton="0" quotePrefix="0" xfId="0">
      <alignment vertical="center"/>
    </xf>
    <xf numFmtId="0" fontId="43" fillId="0" borderId="55" applyAlignment="1" pivotButton="0" quotePrefix="0" xfId="0">
      <alignment vertical="center"/>
    </xf>
    <xf numFmtId="0" fontId="43" fillId="0" borderId="53" applyAlignment="1" pivotButton="0" quotePrefix="0" xfId="0">
      <alignment horizontal="left" vertical="center"/>
    </xf>
    <xf numFmtId="0" fontId="43" fillId="0" borderId="56" applyAlignment="1" pivotButton="0" quotePrefix="0" xfId="0">
      <alignment vertical="center"/>
    </xf>
    <xf numFmtId="0" fontId="43" fillId="0" borderId="57" applyAlignment="1" pivotButton="0" quotePrefix="0" xfId="0">
      <alignment vertical="center"/>
    </xf>
    <xf numFmtId="0" fontId="43" fillId="0" borderId="60" applyAlignment="1" pivotButton="0" quotePrefix="0" xfId="0">
      <alignment horizontal="left" vertical="center"/>
    </xf>
    <xf numFmtId="0" fontId="43" fillId="0" borderId="58" applyAlignment="1" pivotButton="0" quotePrefix="0" xfId="0">
      <alignment vertical="center"/>
    </xf>
    <xf numFmtId="0" fontId="43" fillId="0" borderId="59" applyAlignment="1" pivotButton="0" quotePrefix="0" xfId="0">
      <alignment vertical="center"/>
    </xf>
    <xf numFmtId="0" fontId="43" fillId="0" borderId="61" applyAlignment="1" pivotButton="0" quotePrefix="0" xfId="0">
      <alignment horizontal="left" vertical="center"/>
    </xf>
    <xf numFmtId="0" fontId="43" fillId="0" borderId="62" applyAlignment="1" pivotButton="0" quotePrefix="0" xfId="0">
      <alignment horizontal="left" vertical="center"/>
    </xf>
    <xf numFmtId="14" fontId="43" fillId="0" borderId="53" applyAlignment="1" pivotButton="0" quotePrefix="0" xfId="0">
      <alignment horizontal="left" vertical="center"/>
    </xf>
    <xf numFmtId="0" fontId="44" fillId="0" borderId="0" applyAlignment="1" pivotButton="0" quotePrefix="0" xfId="0">
      <alignment vertical="center"/>
    </xf>
    <xf numFmtId="0" fontId="0" fillId="0" borderId="0" pivotButton="0" quotePrefix="1" xfId="0"/>
    <xf numFmtId="0" fontId="45" fillId="0" borderId="0" pivotButton="0" quotePrefix="0" xfId="0"/>
    <xf numFmtId="0" fontId="46" fillId="8" borderId="14" applyAlignment="1" pivotButton="0" quotePrefix="0" xfId="0">
      <alignment vertical="center" wrapText="1"/>
    </xf>
    <xf numFmtId="0" fontId="46" fillId="8" borderId="17" applyAlignment="1" pivotButton="0" quotePrefix="0" xfId="0">
      <alignment vertical="center" wrapText="1"/>
    </xf>
    <xf numFmtId="0" fontId="46" fillId="8" borderId="17" applyAlignment="1" pivotButton="0" quotePrefix="0" xfId="0">
      <alignment horizontal="center" vertical="center" wrapText="1"/>
    </xf>
    <xf numFmtId="0" fontId="46" fillId="8" borderId="18" applyAlignment="1" pivotButton="0" quotePrefix="0" xfId="0">
      <alignment vertical="center" wrapText="1"/>
    </xf>
    <xf numFmtId="0" fontId="46" fillId="8" borderId="21" applyAlignment="1" pivotButton="0" quotePrefix="0" xfId="0">
      <alignment vertical="center" wrapText="1"/>
    </xf>
    <xf numFmtId="0" fontId="46" fillId="8" borderId="7" applyAlignment="1" pivotButton="0" quotePrefix="0" xfId="0">
      <alignment vertical="center" wrapText="1"/>
    </xf>
    <xf numFmtId="0" fontId="46" fillId="8" borderId="7" applyAlignment="1" pivotButton="0" quotePrefix="0" xfId="0">
      <alignment horizontal="center" vertical="center" wrapText="1"/>
    </xf>
    <xf numFmtId="0" fontId="46" fillId="8" borderId="20" applyAlignment="1" pivotButton="0" quotePrefix="0" xfId="0">
      <alignment vertical="center" wrapText="1"/>
    </xf>
    <xf numFmtId="0" fontId="25" fillId="0" borderId="63" applyAlignment="1" pivotButton="0" quotePrefix="0" xfId="0">
      <alignment horizontal="center" vertical="center" wrapText="1"/>
    </xf>
    <xf numFmtId="0" fontId="25" fillId="0" borderId="22" applyAlignment="1" pivotButton="0" quotePrefix="0" xfId="0">
      <alignment horizontal="center" vertical="center" wrapText="1"/>
    </xf>
    <xf numFmtId="0" fontId="25" fillId="0" borderId="64" applyAlignment="1" pivotButton="0" quotePrefix="0" xfId="0">
      <alignment horizontal="center" vertical="center" wrapText="1"/>
    </xf>
    <xf numFmtId="0" fontId="25" fillId="0" borderId="27" applyAlignment="1" pivotButton="0" quotePrefix="0" xfId="0">
      <alignment horizontal="center" vertical="center" wrapText="1"/>
    </xf>
    <xf numFmtId="0" fontId="0" fillId="0" borderId="0" pivotButton="1" quotePrefix="0" xfId="0"/>
    <xf numFmtId="168" fontId="5" fillId="2" borderId="2" applyAlignment="1" pivotButton="0" quotePrefix="0" xfId="0">
      <alignment horizontal="center" vertical="center" wrapText="1"/>
    </xf>
    <xf numFmtId="0" fontId="47" fillId="0" borderId="0" pivotButton="0" quotePrefix="0" xfId="0"/>
    <xf numFmtId="169" fontId="41" fillId="0" borderId="52" applyAlignment="1" pivotButton="0" quotePrefix="0" xfId="1">
      <alignment horizontal="center" vertical="center"/>
    </xf>
    <xf numFmtId="0" fontId="2" fillId="0" borderId="0" pivotButton="0" quotePrefix="0" xfId="0"/>
    <xf numFmtId="0" fontId="0" fillId="0" borderId="0" pivotButton="0" quotePrefix="0" xfId="0"/>
    <xf numFmtId="0" fontId="1" fillId="0" borderId="0" pivotButton="0" quotePrefix="0" xfId="0"/>
    <xf numFmtId="0" fontId="5" fillId="2" borderId="2" applyAlignment="1" pivotButton="0" quotePrefix="0" xfId="0">
      <alignment horizontal="center" vertical="center" wrapText="1"/>
    </xf>
    <xf numFmtId="0" fontId="0" fillId="0" borderId="3" pivotButton="0" quotePrefix="0" xfId="0"/>
    <xf numFmtId="0" fontId="25" fillId="7" borderId="15" applyAlignment="1" pivotButton="0" quotePrefix="0" xfId="0">
      <alignment horizontal="center" vertical="center" wrapText="1"/>
    </xf>
    <xf numFmtId="0" fontId="25" fillId="7" borderId="16" applyAlignment="1" pivotButton="0" quotePrefix="0" xfId="0">
      <alignment horizontal="center" vertical="center" wrapText="1"/>
    </xf>
    <xf numFmtId="0" fontId="25" fillId="7" borderId="9" applyAlignment="1" pivotButton="0" quotePrefix="0" xfId="0">
      <alignment horizontal="center" vertical="center" wrapText="1"/>
    </xf>
    <xf numFmtId="0" fontId="25" fillId="7" borderId="10" applyAlignment="1" pivotButton="0" quotePrefix="0" xfId="0">
      <alignment horizontal="center" vertical="center" wrapText="1"/>
    </xf>
    <xf numFmtId="0" fontId="25" fillId="7" borderId="11" applyAlignment="1" pivotButton="0" quotePrefix="0" xfId="0">
      <alignment horizontal="center" vertical="center" wrapText="1"/>
    </xf>
    <xf numFmtId="0" fontId="25" fillId="7" borderId="12" applyAlignment="1" pivotButton="0" quotePrefix="0" xfId="0">
      <alignment horizontal="center" vertical="center" wrapText="1"/>
    </xf>
    <xf numFmtId="0" fontId="25" fillId="0" borderId="23" applyAlignment="1" pivotButton="0" quotePrefix="0" xfId="0">
      <alignment horizontal="center" vertical="center" wrapText="1"/>
    </xf>
    <xf numFmtId="0" fontId="25" fillId="0" borderId="19" applyAlignment="1" pivotButton="0" quotePrefix="0" xfId="0">
      <alignment horizontal="center" vertical="center" wrapText="1"/>
    </xf>
    <xf numFmtId="0" fontId="25" fillId="0" borderId="21" applyAlignment="1" pivotButton="0" quotePrefix="0" xfId="0">
      <alignment horizontal="center" vertical="center" wrapText="1"/>
    </xf>
    <xf numFmtId="0" fontId="25" fillId="0" borderId="5" applyAlignment="1" pivotButton="0" quotePrefix="0" xfId="0">
      <alignment horizontal="center" vertical="center" wrapText="1"/>
    </xf>
    <xf numFmtId="0" fontId="25" fillId="0" borderId="7" applyAlignment="1" pivotButton="0" quotePrefix="0" xfId="0">
      <alignment horizontal="center" vertical="center" wrapText="1"/>
    </xf>
    <xf numFmtId="0" fontId="25" fillId="0" borderId="24" applyAlignment="1" pivotButton="0" quotePrefix="0" xfId="0">
      <alignment horizontal="center" vertical="top" wrapText="1"/>
    </xf>
    <xf numFmtId="0" fontId="25" fillId="0" borderId="25" applyAlignment="1" pivotButton="0" quotePrefix="0" xfId="0">
      <alignment horizontal="center" vertical="top" wrapText="1"/>
    </xf>
    <xf numFmtId="0" fontId="25" fillId="7" borderId="14" applyAlignment="1" pivotButton="0" quotePrefix="0" xfId="0">
      <alignment horizontal="center" vertical="center" wrapText="1"/>
    </xf>
    <xf numFmtId="0" fontId="25" fillId="7" borderId="19" applyAlignment="1" pivotButton="0" quotePrefix="0" xfId="0">
      <alignment horizontal="center" vertical="center" wrapText="1"/>
    </xf>
    <xf numFmtId="0" fontId="25" fillId="7" borderId="21" applyAlignment="1" pivotButton="0" quotePrefix="0" xfId="0">
      <alignment horizontal="center" vertical="center" wrapText="1"/>
    </xf>
    <xf numFmtId="0" fontId="25" fillId="7" borderId="28" applyAlignment="1" pivotButton="0" quotePrefix="0" xfId="0">
      <alignment horizontal="center" vertical="center" wrapText="1"/>
    </xf>
    <xf numFmtId="0" fontId="25" fillId="0" borderId="24" applyAlignment="1" pivotButton="0" quotePrefix="0" xfId="0">
      <alignment horizontal="center" vertical="center" wrapText="1"/>
    </xf>
    <xf numFmtId="0" fontId="25" fillId="0" borderId="25" applyAlignment="1" pivotButton="0" quotePrefix="0" xfId="0">
      <alignment horizontal="center" vertical="center" wrapText="1"/>
    </xf>
    <xf numFmtId="0" fontId="25" fillId="7" borderId="29" applyAlignment="1" pivotButton="0" quotePrefix="0" xfId="0">
      <alignment horizontal="center" vertical="center" wrapText="1"/>
    </xf>
    <xf numFmtId="0" fontId="22" fillId="0" borderId="23" applyAlignment="1" pivotButton="0" quotePrefix="0" xfId="0">
      <alignment horizontal="center" vertical="center" wrapText="1"/>
    </xf>
    <xf numFmtId="0" fontId="22" fillId="0" borderId="21" applyAlignment="1" pivotButton="0" quotePrefix="0" xfId="0">
      <alignment horizontal="center" vertical="center" wrapText="1"/>
    </xf>
    <xf numFmtId="0" fontId="22" fillId="0" borderId="5" applyAlignment="1" pivotButton="0" quotePrefix="0" xfId="0">
      <alignment horizontal="center" vertical="center" wrapText="1"/>
    </xf>
    <xf numFmtId="0" fontId="22" fillId="0" borderId="7" applyAlignment="1" pivotButton="0" quotePrefix="0" xfId="0">
      <alignment horizontal="center" vertical="center" wrapText="1"/>
    </xf>
    <xf numFmtId="0" fontId="22" fillId="0" borderId="35" applyAlignment="1" pivotButton="0" quotePrefix="0" xfId="0">
      <alignment horizontal="center" vertical="center" wrapText="1"/>
    </xf>
    <xf numFmtId="0" fontId="22" fillId="0" borderId="20" applyAlignment="1" pivotButton="0" quotePrefix="0" xfId="0">
      <alignment horizontal="center" vertical="center" wrapText="1"/>
    </xf>
    <xf numFmtId="0" fontId="27" fillId="9" borderId="14" applyAlignment="1" pivotButton="0" quotePrefix="0" xfId="0">
      <alignment horizontal="center" vertical="center" wrapText="1"/>
    </xf>
    <xf numFmtId="0" fontId="27" fillId="9" borderId="21" applyAlignment="1" pivotButton="0" quotePrefix="0" xfId="0">
      <alignment horizontal="center" vertical="center" wrapText="1"/>
    </xf>
    <xf numFmtId="0" fontId="27" fillId="9" borderId="17" applyAlignment="1" pivotButton="0" quotePrefix="0" xfId="0">
      <alignment horizontal="center" vertical="center" wrapText="1"/>
    </xf>
    <xf numFmtId="0" fontId="27" fillId="9" borderId="7" applyAlignment="1" pivotButton="0" quotePrefix="0" xfId="0">
      <alignment horizontal="center" vertical="center" wrapText="1"/>
    </xf>
    <xf numFmtId="0" fontId="27" fillId="9" borderId="18" applyAlignment="1" pivotButton="0" quotePrefix="0" xfId="0">
      <alignment horizontal="center" vertical="center" wrapText="1"/>
    </xf>
    <xf numFmtId="0" fontId="27" fillId="9" borderId="20" applyAlignment="1" pivotButton="0" quotePrefix="0" xfId="0">
      <alignment horizontal="center" vertical="center" wrapText="1"/>
    </xf>
    <xf numFmtId="0" fontId="22" fillId="0" borderId="19" applyAlignment="1" pivotButton="0" quotePrefix="0" xfId="0">
      <alignment horizontal="center" vertical="center" wrapText="1"/>
    </xf>
    <xf numFmtId="0" fontId="22" fillId="0" borderId="6" applyAlignment="1" pivotButton="0" quotePrefix="0" xfId="0">
      <alignment horizontal="center" vertical="center" wrapText="1"/>
    </xf>
    <xf numFmtId="0" fontId="22" fillId="0" borderId="39" applyAlignment="1" pivotButton="0" quotePrefix="0" xfId="0">
      <alignment horizontal="center" vertical="center" wrapText="1"/>
    </xf>
    <xf numFmtId="0" fontId="22" fillId="10" borderId="23" applyAlignment="1" pivotButton="0" quotePrefix="0" xfId="0">
      <alignment horizontal="center" vertical="center" wrapText="1"/>
    </xf>
    <xf numFmtId="0" fontId="22" fillId="10" borderId="19" applyAlignment="1" pivotButton="0" quotePrefix="0" xfId="0">
      <alignment horizontal="center" vertical="center" wrapText="1"/>
    </xf>
    <xf numFmtId="0" fontId="22" fillId="10" borderId="21" applyAlignment="1" pivotButton="0" quotePrefix="0" xfId="0">
      <alignment horizontal="center" vertical="center" wrapText="1"/>
    </xf>
    <xf numFmtId="0" fontId="22" fillId="10" borderId="5" applyAlignment="1" pivotButton="0" quotePrefix="0" xfId="0">
      <alignment horizontal="center" vertical="center" wrapText="1"/>
    </xf>
    <xf numFmtId="0" fontId="22" fillId="10" borderId="6" applyAlignment="1" pivotButton="0" quotePrefix="0" xfId="0">
      <alignment horizontal="center" vertical="center" wrapText="1"/>
    </xf>
    <xf numFmtId="0" fontId="22" fillId="10" borderId="7" applyAlignment="1" pivotButton="0" quotePrefix="0" xfId="0">
      <alignment horizontal="center" vertical="center" wrapText="1"/>
    </xf>
    <xf numFmtId="0" fontId="22" fillId="10" borderId="35" applyAlignment="1" pivotButton="0" quotePrefix="0" xfId="0">
      <alignment horizontal="center" vertical="center" wrapText="1"/>
    </xf>
    <xf numFmtId="0" fontId="22" fillId="10" borderId="39" applyAlignment="1" pivotButton="0" quotePrefix="0" xfId="0">
      <alignment horizontal="center" vertical="center" wrapText="1"/>
    </xf>
    <xf numFmtId="0" fontId="22" fillId="10" borderId="20" applyAlignment="1" pivotButton="0" quotePrefix="0" xfId="0">
      <alignment horizontal="center" vertical="center" wrapText="1"/>
    </xf>
    <xf numFmtId="0" fontId="22" fillId="0" borderId="31" applyAlignment="1" pivotButton="0" quotePrefix="0" xfId="0">
      <alignment horizontal="center" vertical="center" wrapText="1"/>
    </xf>
    <xf numFmtId="0" fontId="22" fillId="0" borderId="36" applyAlignment="1" pivotButton="0" quotePrefix="0" xfId="0">
      <alignment horizontal="center" vertical="center" wrapText="1"/>
    </xf>
    <xf numFmtId="0" fontId="22" fillId="0" borderId="37" applyAlignment="1" pivotButton="0" quotePrefix="0" xfId="0">
      <alignment horizontal="center" vertical="center" wrapText="1"/>
    </xf>
    <xf numFmtId="0" fontId="5" fillId="5" borderId="0" applyAlignment="1" pivotButton="0" quotePrefix="0" xfId="0">
      <alignment horizontal="center" vertical="center"/>
    </xf>
    <xf numFmtId="0" fontId="5" fillId="4" borderId="0" applyAlignment="1" pivotButton="0" quotePrefix="0" xfId="0">
      <alignment horizontal="center" vertical="center"/>
    </xf>
    <xf numFmtId="0" fontId="33" fillId="0" borderId="0" applyAlignment="1" pivotButton="0" quotePrefix="0" xfId="0">
      <alignment horizontal="left" vertical="center" wrapText="1"/>
    </xf>
    <xf numFmtId="0" fontId="34" fillId="0" borderId="0" applyAlignment="1" pivotButton="0" quotePrefix="0" xfId="0">
      <alignment horizontal="left" vertical="center" wrapText="1" indent="1"/>
    </xf>
    <xf numFmtId="3" fontId="34" fillId="0" borderId="0" applyAlignment="1" pivotButton="0" quotePrefix="0" xfId="0">
      <alignment horizontal="right" vertical="center" wrapText="1"/>
    </xf>
    <xf numFmtId="164" fontId="7" fillId="0" borderId="2" pivotButton="0" quotePrefix="0" xfId="0"/>
    <xf numFmtId="165" fontId="7" fillId="0" borderId="2" pivotButton="0" quotePrefix="0" xfId="0"/>
    <xf numFmtId="164" fontId="8" fillId="3" borderId="2" pivotButton="0" quotePrefix="0" xfId="0"/>
    <xf numFmtId="165" fontId="8" fillId="3" borderId="2" pivotButton="0" quotePrefix="0" xfId="0"/>
    <xf numFmtId="164" fontId="14" fillId="3" borderId="2" pivotButton="0" quotePrefix="0" xfId="0"/>
    <xf numFmtId="165" fontId="14" fillId="3" borderId="2" pivotButton="0" quotePrefix="0" xfId="0"/>
    <xf numFmtId="164" fontId="7" fillId="0" borderId="2" applyAlignment="1" pivotButton="0" quotePrefix="0" xfId="0">
      <alignment horizontal="right"/>
    </xf>
    <xf numFmtId="164" fontId="14" fillId="3" borderId="2" applyAlignment="1" pivotButton="0" quotePrefix="0" xfId="0">
      <alignment horizontal="right"/>
    </xf>
    <xf numFmtId="164" fontId="6" fillId="3" borderId="2" applyAlignment="1" pivotButton="0" quotePrefix="0" xfId="0">
      <alignment horizontal="right"/>
    </xf>
    <xf numFmtId="165" fontId="10" fillId="0" borderId="2" applyAlignment="1" pivotButton="0" quotePrefix="0" xfId="0">
      <alignment horizontal="right"/>
    </xf>
    <xf numFmtId="164" fontId="10" fillId="0" borderId="2" applyAlignment="1" pivotButton="0" quotePrefix="0" xfId="0">
      <alignment horizontal="right"/>
    </xf>
    <xf numFmtId="164" fontId="10" fillId="0" borderId="2" applyAlignment="1" pivotButton="0" quotePrefix="0" xfId="0">
      <alignment horizontal="center"/>
    </xf>
    <xf numFmtId="166" fontId="7" fillId="0" borderId="2" applyAlignment="1" pivotButton="0" quotePrefix="0" xfId="0">
      <alignment horizontal="right"/>
    </xf>
    <xf numFmtId="165" fontId="9" fillId="0" borderId="2" pivotButton="0" quotePrefix="0" xfId="0"/>
    <xf numFmtId="0" fontId="25" fillId="7" borderId="32" applyAlignment="1" pivotButton="0" quotePrefix="0" xfId="0">
      <alignment horizontal="center" vertical="center" wrapText="1"/>
    </xf>
    <xf numFmtId="0" fontId="25" fillId="7" borderId="42" applyAlignment="1" pivotButton="0" quotePrefix="0" xfId="0">
      <alignment horizontal="center" vertical="center" wrapText="1"/>
    </xf>
    <xf numFmtId="0" fontId="0" fillId="0" borderId="16" pivotButton="0" quotePrefix="0" xfId="0"/>
    <xf numFmtId="0" fontId="0" fillId="0" borderId="28" pivotButton="0" quotePrefix="0" xfId="0"/>
    <xf numFmtId="0" fontId="0" fillId="0" borderId="19" pivotButton="0" quotePrefix="0" xfId="0"/>
    <xf numFmtId="0" fontId="0" fillId="0" borderId="9" pivotButton="0" quotePrefix="0" xfId="0"/>
    <xf numFmtId="0" fontId="0" fillId="0" borderId="10" pivotButton="0" quotePrefix="0" xfId="0"/>
    <xf numFmtId="0" fontId="0" fillId="0" borderId="29" pivotButton="0" quotePrefix="0" xfId="0"/>
    <xf numFmtId="0" fontId="0" fillId="0" borderId="12" pivotButton="0" quotePrefix="0" xfId="0"/>
    <xf numFmtId="0" fontId="0" fillId="0" borderId="21" pivotButton="0" quotePrefix="0" xfId="0"/>
    <xf numFmtId="0" fontId="0" fillId="0" borderId="11" pivotButton="0" quotePrefix="0" xfId="0"/>
    <xf numFmtId="165" fontId="6" fillId="3" borderId="2" applyAlignment="1" pivotButton="0" quotePrefix="0" xfId="0">
      <alignment horizontal="center" vertical="center" wrapText="1"/>
    </xf>
    <xf numFmtId="165" fontId="6" fillId="3" borderId="2" applyAlignment="1" pivotButton="0" quotePrefix="0" xfId="0">
      <alignment horizontal="right" vertical="center" wrapText="1"/>
    </xf>
    <xf numFmtId="0" fontId="0" fillId="0" borderId="7" pivotButton="0" quotePrefix="0" xfId="0"/>
    <xf numFmtId="165" fontId="7" fillId="0" borderId="2" applyAlignment="1" pivotButton="0" quotePrefix="0" xfId="0">
      <alignment horizontal="right" vertical="center"/>
    </xf>
    <xf numFmtId="0" fontId="0" fillId="0" borderId="25" pivotButton="0" quotePrefix="0" xfId="0"/>
    <xf numFmtId="0" fontId="25" fillId="0" borderId="64" applyAlignment="1" pivotButton="0" quotePrefix="0" xfId="0">
      <alignment horizontal="center" vertical="top" wrapText="1"/>
    </xf>
    <xf numFmtId="165" fontId="14" fillId="0" borderId="2" applyAlignment="1" pivotButton="0" quotePrefix="0" xfId="0">
      <alignment horizontal="right" vertical="center"/>
    </xf>
    <xf numFmtId="164" fontId="7" fillId="0" borderId="2" applyAlignment="1" pivotButton="0" quotePrefix="0" xfId="0">
      <alignment horizontal="right" vertical="center"/>
    </xf>
    <xf numFmtId="164" fontId="10" fillId="0" borderId="2" applyAlignment="1" pivotButton="0" quotePrefix="0" xfId="0">
      <alignment horizontal="right" vertical="center"/>
    </xf>
    <xf numFmtId="165" fontId="10" fillId="0" borderId="2" applyAlignment="1" pivotButton="0" quotePrefix="0" xfId="0">
      <alignment horizontal="right" vertical="center"/>
    </xf>
    <xf numFmtId="164" fontId="9" fillId="0" borderId="2" applyAlignment="1" pivotButton="0" quotePrefix="0" xfId="0">
      <alignment horizontal="right" vertical="center" wrapText="1"/>
    </xf>
    <xf numFmtId="164" fontId="9" fillId="11" borderId="2" applyAlignment="1" pivotButton="0" quotePrefix="0" xfId="0">
      <alignment horizontal="right" vertical="center" wrapText="1"/>
    </xf>
    <xf numFmtId="165" fontId="9" fillId="0" borderId="2" applyAlignment="1" pivotButton="0" quotePrefix="0" xfId="0">
      <alignment horizontal="right" vertical="center" wrapText="1"/>
    </xf>
    <xf numFmtId="0" fontId="48" fillId="0" borderId="0" pivotButton="0" quotePrefix="0" xfId="0"/>
    <xf numFmtId="0" fontId="49" fillId="0" borderId="0" pivotButton="0" quotePrefix="0" xfId="0"/>
    <xf numFmtId="0" fontId="50" fillId="0" borderId="0" pivotButton="0" quotePrefix="0" xfId="0"/>
    <xf numFmtId="0" fontId="51" fillId="0" borderId="0" pivotButton="0" quotePrefix="0" xfId="0"/>
    <xf numFmtId="0" fontId="52" fillId="0" borderId="0" pivotButton="0" quotePrefix="0" xfId="0"/>
    <xf numFmtId="0" fontId="53" fillId="13" borderId="70" applyAlignment="1" pivotButton="0" quotePrefix="0" xfId="0">
      <alignment horizontal="center" vertical="center" wrapText="1"/>
    </xf>
    <xf numFmtId="0" fontId="54" fillId="0" borderId="70" applyAlignment="1" pivotButton="0" quotePrefix="0" xfId="0">
      <alignment horizontal="center" vertical="center" wrapText="1"/>
    </xf>
    <xf numFmtId="0" fontId="55" fillId="0" borderId="70" applyAlignment="1" pivotButton="0" quotePrefix="0" xfId="0">
      <alignment horizontal="left" vertical="center" wrapText="1"/>
    </xf>
    <xf numFmtId="0" fontId="52" fillId="0" borderId="70" applyAlignment="1" pivotButton="0" quotePrefix="0" xfId="0">
      <alignment horizontal="left" vertical="center" wrapText="1"/>
    </xf>
    <xf numFmtId="0" fontId="56" fillId="0" borderId="0" pivotButton="0" quotePrefix="0" xfId="0"/>
    <xf numFmtId="0" fontId="57" fillId="0" borderId="0" pivotButton="0" quotePrefix="0" xfId="0"/>
    <xf numFmtId="0" fontId="58" fillId="0" borderId="0" pivotButton="0" quotePrefix="0" xfId="0"/>
    <xf numFmtId="0" fontId="27" fillId="9" borderId="32" applyAlignment="1" pivotButton="0" quotePrefix="0" xfId="0">
      <alignment horizontal="center" vertical="center" wrapText="1"/>
    </xf>
    <xf numFmtId="0" fontId="27" fillId="9" borderId="42" applyAlignment="1" pivotButton="0" quotePrefix="0" xfId="0">
      <alignment horizontal="center" vertical="center" wrapText="1"/>
    </xf>
    <xf numFmtId="0" fontId="27" fillId="9" borderId="43" applyAlignment="1" pivotButton="0" quotePrefix="0" xfId="0">
      <alignment horizontal="center" vertical="center" wrapText="1"/>
    </xf>
    <xf numFmtId="0" fontId="0" fillId="0" borderId="20" pivotButton="0" quotePrefix="0" xfId="0"/>
    <xf numFmtId="0" fontId="22" fillId="0" borderId="63" applyAlignment="1" pivotButton="0" quotePrefix="0" xfId="0">
      <alignment horizontal="center" vertical="center" wrapText="1"/>
    </xf>
    <xf numFmtId="0" fontId="22" fillId="0" borderId="22" applyAlignment="1" pivotButton="0" quotePrefix="0" xfId="0">
      <alignment horizontal="center" vertical="center" wrapText="1"/>
    </xf>
    <xf numFmtId="0" fontId="0" fillId="0" borderId="6" pivotButton="0" quotePrefix="0" xfId="0"/>
    <xf numFmtId="0" fontId="0" fillId="0" borderId="39" pivotButton="0" quotePrefix="0" xfId="0"/>
    <xf numFmtId="0" fontId="22" fillId="10" borderId="63" applyAlignment="1" pivotButton="0" quotePrefix="0" xfId="0">
      <alignment horizontal="center" vertical="center" wrapText="1"/>
    </xf>
    <xf numFmtId="0" fontId="22" fillId="10" borderId="4" applyAlignment="1" pivotButton="0" quotePrefix="0" xfId="0">
      <alignment horizontal="center" vertical="center" wrapText="1"/>
    </xf>
    <xf numFmtId="0" fontId="22" fillId="10" borderId="22" applyAlignment="1" pivotButton="0" quotePrefix="0" xfId="0">
      <alignment horizontal="center" vertical="center" wrapText="1"/>
    </xf>
    <xf numFmtId="0" fontId="22" fillId="0" borderId="64" applyAlignment="1" pivotButton="0" quotePrefix="0" xfId="0">
      <alignment horizontal="center" vertical="center" wrapText="1"/>
    </xf>
    <xf numFmtId="0" fontId="22" fillId="0" borderId="27" applyAlignment="1" pivotButton="0" quotePrefix="0" xfId="0">
      <alignment horizontal="center" vertical="center" wrapText="1"/>
    </xf>
    <xf numFmtId="0" fontId="0" fillId="0" borderId="31" pivotButton="0" quotePrefix="0" xfId="0"/>
    <xf numFmtId="0" fontId="0" fillId="0" borderId="36" pivotButton="0" quotePrefix="0" xfId="0"/>
    <xf numFmtId="0" fontId="0" fillId="0" borderId="37" pivotButton="0" quotePrefix="0" xfId="0"/>
    <xf numFmtId="167" fontId="33" fillId="11" borderId="2" applyAlignment="1" pivotButton="0" quotePrefix="0" xfId="0">
      <alignment horizontal="right" vertical="center" wrapText="1"/>
    </xf>
    <xf numFmtId="167" fontId="34" fillId="0" borderId="2" applyAlignment="1" pivotButton="0" quotePrefix="0" xfId="0">
      <alignment horizontal="right" vertical="center" wrapText="1"/>
    </xf>
    <xf numFmtId="167" fontId="34" fillId="10" borderId="2" applyAlignment="1" pivotButton="0" quotePrefix="0" xfId="0">
      <alignment horizontal="right" vertical="center" wrapText="1"/>
    </xf>
    <xf numFmtId="165" fontId="37" fillId="3" borderId="2" applyAlignment="1" pivotButton="0" quotePrefix="0" xfId="0">
      <alignment horizontal="right" vertical="center" wrapText="1"/>
    </xf>
    <xf numFmtId="168" fontId="5" fillId="2" borderId="2" applyAlignment="1" pivotButton="0" quotePrefix="0" xfId="0">
      <alignment horizontal="center" vertical="center" wrapText="1"/>
    </xf>
    <xf numFmtId="164" fontId="7" fillId="0" borderId="2" applyAlignment="1" pivotButton="0" quotePrefix="0" xfId="0">
      <alignment horizontal="right" vertical="center" wrapText="1"/>
    </xf>
    <xf numFmtId="164" fontId="14" fillId="3" borderId="2" applyAlignment="1" pivotButton="0" quotePrefix="0" xfId="0">
      <alignment horizontal="right" vertical="center" wrapText="1"/>
    </xf>
    <xf numFmtId="164" fontId="10" fillId="0" borderId="2" applyAlignment="1" pivotButton="0" quotePrefix="0" xfId="0">
      <alignment horizontal="right" vertical="center" wrapText="1"/>
    </xf>
    <xf numFmtId="164" fontId="7" fillId="0" borderId="2" applyAlignment="1" pivotButton="0" quotePrefix="0" xfId="0">
      <alignment horizontal="center" vertical="center" wrapText="1"/>
    </xf>
    <xf numFmtId="165" fontId="7" fillId="0" borderId="2" applyAlignment="1" pivotButton="0" quotePrefix="0" xfId="0">
      <alignment horizontal="center" vertical="center" wrapText="1"/>
    </xf>
    <xf numFmtId="169" fontId="41" fillId="0" borderId="52" applyAlignment="1" pivotButton="0" quotePrefix="0" xfId="1">
      <alignment horizontal="center" vertical="center"/>
    </xf>
    <xf numFmtId="164" fontId="9" fillId="0" borderId="2" pivotButton="0" quotePrefix="0" xfId="0"/>
    <xf numFmtId="165" fontId="9" fillId="0" borderId="2" applyAlignment="1" pivotButton="0" quotePrefix="0" xfId="0">
      <alignment horizontal="right" vertical="center"/>
    </xf>
    <xf numFmtId="164" fontId="7" fillId="6" borderId="2" pivotButton="0" quotePrefix="0" xfId="0"/>
    <xf numFmtId="0" fontId="59" fillId="0" borderId="0" pivotButton="0" quotePrefix="0" xfId="0"/>
    <xf numFmtId="0" fontId="60" fillId="0" borderId="0" applyAlignment="1" pivotButton="0" quotePrefix="0" xfId="0">
      <alignment horizontal="left" vertical="center" wrapText="1"/>
    </xf>
    <xf numFmtId="0" fontId="61" fillId="0" borderId="71" pivotButton="0" quotePrefix="0" xfId="0"/>
    <xf numFmtId="0" fontId="62" fillId="0" borderId="71" pivotButton="0" quotePrefix="0" xfId="0"/>
    <xf numFmtId="0" fontId="29" fillId="0" borderId="71" pivotButton="0" quotePrefix="0" xfId="0"/>
    <xf numFmtId="0" fontId="0" fillId="0" borderId="71" pivotButton="0" quotePrefix="0" xfId="0"/>
    <xf numFmtId="0" fontId="59" fillId="0" borderId="71" pivotButton="0" quotePrefix="0" xfId="0"/>
    <xf numFmtId="0" fontId="63" fillId="13" borderId="70" applyAlignment="1" pivotButton="0" quotePrefix="1" xfId="0">
      <alignment horizontal="center" vertical="center" wrapText="1"/>
    </xf>
    <xf numFmtId="0" fontId="63" fillId="13" borderId="70" applyAlignment="1" pivotButton="0" quotePrefix="0" xfId="0">
      <alignment horizontal="center" vertical="center" wrapText="1"/>
    </xf>
    <xf numFmtId="0" fontId="34" fillId="0" borderId="71" applyAlignment="1" pivotButton="0" quotePrefix="0" xfId="0">
      <alignment horizontal="center" vertical="center" wrapText="1"/>
    </xf>
    <xf numFmtId="0" fontId="30" fillId="0" borderId="71" pivotButton="0" quotePrefix="0" xfId="0"/>
    <xf numFmtId="0" fontId="64" fillId="0" borderId="70" applyAlignment="1" pivotButton="0" quotePrefix="1" xfId="0">
      <alignment horizontal="center" vertical="center" wrapText="1"/>
    </xf>
    <xf numFmtId="0" fontId="65" fillId="0" borderId="70" applyAlignment="1" pivotButton="0" quotePrefix="0" xfId="0">
      <alignment horizontal="left" vertical="center" wrapText="1"/>
    </xf>
    <xf numFmtId="0" fontId="59" fillId="0" borderId="70" applyAlignment="1" pivotButton="0" quotePrefix="0" xfId="0">
      <alignment horizontal="left" vertical="center" wrapText="1"/>
    </xf>
    <xf numFmtId="0" fontId="64" fillId="0" borderId="70" applyAlignment="1" pivotButton="0" quotePrefix="0" xfId="0">
      <alignment horizontal="center" vertical="center" wrapText="1"/>
    </xf>
    <xf numFmtId="0" fontId="66" fillId="0" borderId="70" applyAlignment="1" pivotButton="0" quotePrefix="0" xfId="0">
      <alignment horizontal="center" vertical="center" wrapText="1"/>
    </xf>
    <xf numFmtId="12" fontId="65" fillId="0" borderId="70" applyAlignment="1" pivotButton="0" quotePrefix="0" xfId="0">
      <alignment horizontal="left" vertical="center" wrapText="1"/>
    </xf>
    <xf numFmtId="12" fontId="59" fillId="0" borderId="70" applyAlignment="1" pivotButton="0" quotePrefix="0" xfId="0">
      <alignment horizontal="left" vertical="center" wrapText="1"/>
    </xf>
    <xf numFmtId="12" fontId="32" fillId="0" borderId="71" applyAlignment="1" pivotButton="0" quotePrefix="0" xfId="0">
      <alignment horizontal="centerContinuous" vertical="center" wrapText="1"/>
    </xf>
    <xf numFmtId="0" fontId="33" fillId="0" borderId="71" applyAlignment="1" pivotButton="0" quotePrefix="0" xfId="0">
      <alignment horizontal="center" vertical="center" wrapText="1"/>
    </xf>
    <xf numFmtId="0" fontId="30" fillId="0" borderId="71" applyAlignment="1" pivotButton="0" quotePrefix="0" xfId="0">
      <alignment vertical="center"/>
    </xf>
    <xf numFmtId="9" fontId="65" fillId="0" borderId="70" applyAlignment="1" pivotButton="0" quotePrefix="0" xfId="0">
      <alignment horizontal="left" vertical="center" wrapText="1"/>
    </xf>
    <xf numFmtId="0" fontId="33" fillId="0" borderId="71" applyAlignment="1" pivotButton="0" quotePrefix="0" xfId="0">
      <alignment horizontal="left" vertical="center" wrapText="1"/>
    </xf>
    <xf numFmtId="0" fontId="67" fillId="0" borderId="70" applyAlignment="1" pivotButton="0" quotePrefix="0" xfId="0">
      <alignment horizontal="center" vertical="center" wrapText="1"/>
    </xf>
    <xf numFmtId="0" fontId="38" fillId="0" borderId="71" pivotButton="0" quotePrefix="0" xfId="0"/>
    <xf numFmtId="0" fontId="60" fillId="0" borderId="71" pivotButton="0" quotePrefix="0" xfId="0"/>
    <xf numFmtId="0" fontId="61" fillId="0" borderId="0" pivotButton="0" quotePrefix="0" xfId="0"/>
    <xf numFmtId="0" fontId="62" fillId="0" borderId="0" pivotButton="0" quotePrefix="0" xfId="0"/>
    <xf numFmtId="0" fontId="60" fillId="0" borderId="0" pivotButton="0" quotePrefix="0" xfId="0"/>
    <xf numFmtId="0" fontId="68" fillId="0" borderId="70" applyAlignment="1" pivotButton="0" quotePrefix="0" xfId="0">
      <alignment horizontal="center" vertical="center" wrapText="1"/>
    </xf>
    <xf numFmtId="0" fontId="4" fillId="0" borderId="71" pivotButton="0" quotePrefix="0" xfId="0"/>
    <xf numFmtId="0" fontId="51" fillId="0" borderId="71" applyAlignment="1" pivotButton="0" quotePrefix="0" xfId="0">
      <alignment horizontal="center" vertical="center" wrapText="1"/>
    </xf>
    <xf numFmtId="0" fontId="5" fillId="0" borderId="71" applyAlignment="1" pivotButton="0" quotePrefix="0" xfId="0">
      <alignment horizontal="center" vertical="center" wrapText="1"/>
    </xf>
    <xf numFmtId="0" fontId="51" fillId="0" borderId="71" pivotButton="0" quotePrefix="0" xfId="0"/>
    <xf numFmtId="0" fontId="69" fillId="0" borderId="70" applyAlignment="1" pivotButton="0" quotePrefix="0" xfId="0">
      <alignment horizontal="left" vertical="center" wrapText="1"/>
    </xf>
    <xf numFmtId="0" fontId="70" fillId="0" borderId="0" pivotButton="0" quotePrefix="0" xfId="0"/>
  </cellXfs>
  <cellStyles count="2">
    <cellStyle name="표준" xfId="0" builtinId="0"/>
    <cellStyle name="표준 2"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pivotCacheDefinition" Target="/xl/pivotCache/pivotCacheDefinition1.xml" Id="rId17"/><Relationship Type="http://schemas.openxmlformats.org/officeDocument/2006/relationships/styles" Target="styles.xml" Id="rId18"/><Relationship Type="http://schemas.openxmlformats.org/officeDocument/2006/relationships/theme" Target="theme/theme1.xml" Id="rId19"/></Relationships>
</file>

<file path=xl/charts/chart1.xml><?xml version="1.0" encoding="utf-8"?>
<chartSpace xmlns="http://schemas.openxmlformats.org/drawingml/2006/chart">
  <chart>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ko-KR"/>
        </a:p>
      </txPr>
    </title>
    <plotArea>
      <layout/>
      <lineChart>
        <grouping val="standard"/>
        <varyColors val="0"/>
        <ser>
          <idx val="0"/>
          <order val="0"/>
          <spPr>
            <a:ln xmlns:a="http://schemas.openxmlformats.org/drawingml/2006/main" w="28575" cap="rnd">
              <a:solidFill>
                <a:schemeClr val="accent1"/>
              </a:solidFill>
              <a:prstDash val="solid"/>
              <a:round/>
            </a:ln>
          </spPr>
          <marker>
            <symbol val="none"/>
            <spPr>
              <a:ln xmlns:a="http://schemas.openxmlformats.org/drawingml/2006/main">
                <a:prstDash val="solid"/>
              </a:ln>
            </spPr>
          </marker>
          <cat>
            <numRef>
              <f>주가데이터!$A$2:$A$588</f>
              <numCache>
                <formatCode>yyyy/mm/dd;@</formatCode>
                <ptCount val="587"/>
                <pt idx="0">
                  <v>45377</v>
                </pt>
                <pt idx="1">
                  <v>45378</v>
                </pt>
                <pt idx="2">
                  <v>45379</v>
                </pt>
                <pt idx="3">
                  <v>45380</v>
                </pt>
                <pt idx="4">
                  <v>45383</v>
                </pt>
                <pt idx="5">
                  <v>45384</v>
                </pt>
                <pt idx="6">
                  <v>45385</v>
                </pt>
                <pt idx="7">
                  <v>45386</v>
                </pt>
                <pt idx="8">
                  <v>45387</v>
                </pt>
                <pt idx="9">
                  <v>45390</v>
                </pt>
                <pt idx="10">
                  <v>45391</v>
                </pt>
                <pt idx="11">
                  <v>45393</v>
                </pt>
                <pt idx="12">
                  <v>45394</v>
                </pt>
                <pt idx="13">
                  <v>45397</v>
                </pt>
                <pt idx="14">
                  <v>45398</v>
                </pt>
                <pt idx="15">
                  <v>45399</v>
                </pt>
                <pt idx="16">
                  <v>45400</v>
                </pt>
                <pt idx="17">
                  <v>45401</v>
                </pt>
                <pt idx="18">
                  <v>45404</v>
                </pt>
                <pt idx="19">
                  <v>45405</v>
                </pt>
                <pt idx="20">
                  <v>45406</v>
                </pt>
                <pt idx="21">
                  <v>45407</v>
                </pt>
                <pt idx="22">
                  <v>45408</v>
                </pt>
                <pt idx="23">
                  <v>45411</v>
                </pt>
                <pt idx="24">
                  <v>45412</v>
                </pt>
                <pt idx="25">
                  <v>45414</v>
                </pt>
                <pt idx="26">
                  <v>45415</v>
                </pt>
                <pt idx="27">
                  <v>45419</v>
                </pt>
                <pt idx="28">
                  <v>45420</v>
                </pt>
                <pt idx="29">
                  <v>45421</v>
                </pt>
                <pt idx="30">
                  <v>45422</v>
                </pt>
                <pt idx="31">
                  <v>45425</v>
                </pt>
                <pt idx="32">
                  <v>45426</v>
                </pt>
                <pt idx="33">
                  <v>45428</v>
                </pt>
                <pt idx="34">
                  <v>45429</v>
                </pt>
                <pt idx="35">
                  <v>45432</v>
                </pt>
                <pt idx="36">
                  <v>45433</v>
                </pt>
                <pt idx="37">
                  <v>45434</v>
                </pt>
                <pt idx="38">
                  <v>45435</v>
                </pt>
                <pt idx="39">
                  <v>45436</v>
                </pt>
                <pt idx="40">
                  <v>45439</v>
                </pt>
                <pt idx="41">
                  <v>45440</v>
                </pt>
                <pt idx="42">
                  <v>45441</v>
                </pt>
                <pt idx="43">
                  <v>45442</v>
                </pt>
                <pt idx="44">
                  <v>45443</v>
                </pt>
                <pt idx="45">
                  <v>45446</v>
                </pt>
                <pt idx="46">
                  <v>45447</v>
                </pt>
                <pt idx="47">
                  <v>45448</v>
                </pt>
                <pt idx="48">
                  <v>45450</v>
                </pt>
                <pt idx="49">
                  <v>45453</v>
                </pt>
                <pt idx="50">
                  <v>45454</v>
                </pt>
                <pt idx="51">
                  <v>45455</v>
                </pt>
                <pt idx="52">
                  <v>45456</v>
                </pt>
                <pt idx="53">
                  <v>45457</v>
                </pt>
                <pt idx="54">
                  <v>45460</v>
                </pt>
                <pt idx="55">
                  <v>45461</v>
                </pt>
                <pt idx="56">
                  <v>45462</v>
                </pt>
                <pt idx="57">
                  <v>45463</v>
                </pt>
                <pt idx="58">
                  <v>45464</v>
                </pt>
                <pt idx="59">
                  <v>45467</v>
                </pt>
                <pt idx="60">
                  <v>45468</v>
                </pt>
                <pt idx="61">
                  <v>45469</v>
                </pt>
                <pt idx="62">
                  <v>45470</v>
                </pt>
                <pt idx="63">
                  <v>45471</v>
                </pt>
                <pt idx="64">
                  <v>45474</v>
                </pt>
                <pt idx="65">
                  <v>45475</v>
                </pt>
                <pt idx="66">
                  <v>45476</v>
                </pt>
                <pt idx="67">
                  <v>45477</v>
                </pt>
                <pt idx="68">
                  <v>45478</v>
                </pt>
                <pt idx="69">
                  <v>45481</v>
                </pt>
                <pt idx="70">
                  <v>45482</v>
                </pt>
                <pt idx="71">
                  <v>45483</v>
                </pt>
                <pt idx="72">
                  <v>45484</v>
                </pt>
                <pt idx="73">
                  <v>45485</v>
                </pt>
                <pt idx="74">
                  <v>45488</v>
                </pt>
                <pt idx="75">
                  <v>45489</v>
                </pt>
                <pt idx="76">
                  <v>45490</v>
                </pt>
                <pt idx="77">
                  <v>45491</v>
                </pt>
                <pt idx="78">
                  <v>45492</v>
                </pt>
                <pt idx="79">
                  <v>45495</v>
                </pt>
                <pt idx="80">
                  <v>45496</v>
                </pt>
                <pt idx="81">
                  <v>45497</v>
                </pt>
                <pt idx="82">
                  <v>45498</v>
                </pt>
                <pt idx="83">
                  <v>45499</v>
                </pt>
                <pt idx="84">
                  <v>45502</v>
                </pt>
                <pt idx="85">
                  <v>45503</v>
                </pt>
                <pt idx="86">
                  <v>45504</v>
                </pt>
                <pt idx="87">
                  <v>45505</v>
                </pt>
                <pt idx="88">
                  <v>45506</v>
                </pt>
                <pt idx="89">
                  <v>45509</v>
                </pt>
                <pt idx="90">
                  <v>45510</v>
                </pt>
                <pt idx="91">
                  <v>45511</v>
                </pt>
                <pt idx="92">
                  <v>45512</v>
                </pt>
                <pt idx="93">
                  <v>45513</v>
                </pt>
                <pt idx="94">
                  <v>45516</v>
                </pt>
                <pt idx="95">
                  <v>45517</v>
                </pt>
                <pt idx="96">
                  <v>45518</v>
                </pt>
                <pt idx="97">
                  <v>45520</v>
                </pt>
                <pt idx="98">
                  <v>45523</v>
                </pt>
                <pt idx="99">
                  <v>45524</v>
                </pt>
                <pt idx="100">
                  <v>45525</v>
                </pt>
                <pt idx="101">
                  <v>45526</v>
                </pt>
                <pt idx="102">
                  <v>45527</v>
                </pt>
                <pt idx="103">
                  <v>45530</v>
                </pt>
                <pt idx="104">
                  <v>45531</v>
                </pt>
                <pt idx="105">
                  <v>45532</v>
                </pt>
                <pt idx="106">
                  <v>45533</v>
                </pt>
                <pt idx="107">
                  <v>45534</v>
                </pt>
                <pt idx="108">
                  <v>45537</v>
                </pt>
                <pt idx="109">
                  <v>45538</v>
                </pt>
                <pt idx="110">
                  <v>45539</v>
                </pt>
                <pt idx="111">
                  <v>45540</v>
                </pt>
                <pt idx="112">
                  <v>45541</v>
                </pt>
                <pt idx="113">
                  <v>45544</v>
                </pt>
                <pt idx="114">
                  <v>45545</v>
                </pt>
                <pt idx="115">
                  <v>45546</v>
                </pt>
                <pt idx="116">
                  <v>45547</v>
                </pt>
                <pt idx="117">
                  <v>45548</v>
                </pt>
                <pt idx="118">
                  <v>45554</v>
                </pt>
                <pt idx="119">
                  <v>45555</v>
                </pt>
                <pt idx="120">
                  <v>45558</v>
                </pt>
                <pt idx="121">
                  <v>45559</v>
                </pt>
                <pt idx="122">
                  <v>45560</v>
                </pt>
                <pt idx="123">
                  <v>45561</v>
                </pt>
                <pt idx="124">
                  <v>45562</v>
                </pt>
                <pt idx="125">
                  <v>45565</v>
                </pt>
                <pt idx="126">
                  <v>45567</v>
                </pt>
                <pt idx="127">
                  <v>45569</v>
                </pt>
                <pt idx="128">
                  <v>45572</v>
                </pt>
                <pt idx="129">
                  <v>45573</v>
                </pt>
                <pt idx="130">
                  <v>45575</v>
                </pt>
                <pt idx="131">
                  <v>45576</v>
                </pt>
                <pt idx="132">
                  <v>45579</v>
                </pt>
                <pt idx="133">
                  <v>45580</v>
                </pt>
                <pt idx="134">
                  <v>45581</v>
                </pt>
                <pt idx="135">
                  <v>45582</v>
                </pt>
                <pt idx="136">
                  <v>45583</v>
                </pt>
                <pt idx="137">
                  <v>45586</v>
                </pt>
                <pt idx="138">
                  <v>45587</v>
                </pt>
                <pt idx="139">
                  <v>45588</v>
                </pt>
                <pt idx="140">
                  <v>45589</v>
                </pt>
                <pt idx="141">
                  <v>45590</v>
                </pt>
                <pt idx="142">
                  <v>45593</v>
                </pt>
                <pt idx="143">
                  <v>45594</v>
                </pt>
                <pt idx="144">
                  <v>45595</v>
                </pt>
                <pt idx="145">
                  <v>45596</v>
                </pt>
                <pt idx="146">
                  <v>45597</v>
                </pt>
                <pt idx="147">
                  <v>45600</v>
                </pt>
                <pt idx="148">
                  <v>45601</v>
                </pt>
                <pt idx="149">
                  <v>45602</v>
                </pt>
                <pt idx="150">
                  <v>45603</v>
                </pt>
                <pt idx="151">
                  <v>45604</v>
                </pt>
                <pt idx="152">
                  <v>45607</v>
                </pt>
                <pt idx="153">
                  <v>45608</v>
                </pt>
                <pt idx="154">
                  <v>45609</v>
                </pt>
                <pt idx="155">
                  <v>45610</v>
                </pt>
                <pt idx="156">
                  <v>45611</v>
                </pt>
                <pt idx="157">
                  <v>45614</v>
                </pt>
                <pt idx="158">
                  <v>45615</v>
                </pt>
                <pt idx="159">
                  <v>45616</v>
                </pt>
                <pt idx="160">
                  <v>45617</v>
                </pt>
                <pt idx="161">
                  <v>45618</v>
                </pt>
                <pt idx="162">
                  <v>45621</v>
                </pt>
                <pt idx="163">
                  <v>45622</v>
                </pt>
                <pt idx="164">
                  <v>45623</v>
                </pt>
                <pt idx="165">
                  <v>45624</v>
                </pt>
                <pt idx="166">
                  <v>45625</v>
                </pt>
                <pt idx="167">
                  <v>45628</v>
                </pt>
                <pt idx="168">
                  <v>45629</v>
                </pt>
                <pt idx="169">
                  <v>45630</v>
                </pt>
                <pt idx="170">
                  <v>45631</v>
                </pt>
                <pt idx="171">
                  <v>45632</v>
                </pt>
                <pt idx="172">
                  <v>45635</v>
                </pt>
                <pt idx="173">
                  <v>45636</v>
                </pt>
                <pt idx="174">
                  <v>45637</v>
                </pt>
                <pt idx="175">
                  <v>45638</v>
                </pt>
                <pt idx="176">
                  <v>45639</v>
                </pt>
                <pt idx="177">
                  <v>45642</v>
                </pt>
                <pt idx="178">
                  <v>45643</v>
                </pt>
                <pt idx="179">
                  <v>45644</v>
                </pt>
                <pt idx="180">
                  <v>45645</v>
                </pt>
                <pt idx="181">
                  <v>45646</v>
                </pt>
                <pt idx="182">
                  <v>45649</v>
                </pt>
                <pt idx="183">
                  <v>45650</v>
                </pt>
                <pt idx="184">
                  <v>45652</v>
                </pt>
                <pt idx="185">
                  <v>45653</v>
                </pt>
                <pt idx="186">
                  <v>45656</v>
                </pt>
                <pt idx="187">
                  <v>45659</v>
                </pt>
                <pt idx="188">
                  <v>45660</v>
                </pt>
                <pt idx="189">
                  <v>45663</v>
                </pt>
                <pt idx="190">
                  <v>45664</v>
                </pt>
                <pt idx="191">
                  <v>45665</v>
                </pt>
                <pt idx="192">
                  <v>45666</v>
                </pt>
                <pt idx="193">
                  <v>45667</v>
                </pt>
                <pt idx="194">
                  <v>45670</v>
                </pt>
                <pt idx="195">
                  <v>45671</v>
                </pt>
                <pt idx="196">
                  <v>45672</v>
                </pt>
                <pt idx="197">
                  <v>45673</v>
                </pt>
                <pt idx="198">
                  <v>45674</v>
                </pt>
                <pt idx="199">
                  <v>45677</v>
                </pt>
                <pt idx="200">
                  <v>45678</v>
                </pt>
                <pt idx="201">
                  <v>45679</v>
                </pt>
                <pt idx="202">
                  <v>45680</v>
                </pt>
                <pt idx="203">
                  <v>45681</v>
                </pt>
                <pt idx="204">
                  <v>45688</v>
                </pt>
                <pt idx="205">
                  <v>45691</v>
                </pt>
                <pt idx="206">
                  <v>45692</v>
                </pt>
                <pt idx="207">
                  <v>45693</v>
                </pt>
                <pt idx="208">
                  <v>45694</v>
                </pt>
                <pt idx="209">
                  <v>45695</v>
                </pt>
                <pt idx="210">
                  <v>45698</v>
                </pt>
                <pt idx="211">
                  <v>45699</v>
                </pt>
                <pt idx="212">
                  <v>45700</v>
                </pt>
                <pt idx="213">
                  <v>45701</v>
                </pt>
                <pt idx="214">
                  <v>45702</v>
                </pt>
                <pt idx="215">
                  <v>45705</v>
                </pt>
                <pt idx="216">
                  <v>45706</v>
                </pt>
                <pt idx="217">
                  <v>45707</v>
                </pt>
                <pt idx="218">
                  <v>45708</v>
                </pt>
                <pt idx="219">
                  <v>45709</v>
                </pt>
                <pt idx="220">
                  <v>45712</v>
                </pt>
                <pt idx="221">
                  <v>45713</v>
                </pt>
                <pt idx="222">
                  <v>45714</v>
                </pt>
                <pt idx="223">
                  <v>45715</v>
                </pt>
                <pt idx="224">
                  <v>45716</v>
                </pt>
                <pt idx="225">
                  <v>45720</v>
                </pt>
                <pt idx="226">
                  <v>45721</v>
                </pt>
                <pt idx="227">
                  <v>45722</v>
                </pt>
                <pt idx="228">
                  <v>45723</v>
                </pt>
                <pt idx="229">
                  <v>45726</v>
                </pt>
                <pt idx="230">
                  <v>45727</v>
                </pt>
                <pt idx="231">
                  <v>45728</v>
                </pt>
                <pt idx="232">
                  <v>45729</v>
                </pt>
                <pt idx="233">
                  <v>45730</v>
                </pt>
                <pt idx="234">
                  <v>45733</v>
                </pt>
                <pt idx="235">
                  <v>45734</v>
                </pt>
                <pt idx="236">
                  <v>45735</v>
                </pt>
                <pt idx="237">
                  <v>45736</v>
                </pt>
                <pt idx="238">
                  <v>45737</v>
                </pt>
                <pt idx="239">
                  <v>45740</v>
                </pt>
                <pt idx="240">
                  <v>45741</v>
                </pt>
                <pt idx="241">
                  <v>45742</v>
                </pt>
                <pt idx="242">
                  <v>45743</v>
                </pt>
                <pt idx="243">
                  <v>45744</v>
                </pt>
                <pt idx="244">
                  <v>45747</v>
                </pt>
                <pt idx="245">
                  <v>45748</v>
                </pt>
                <pt idx="246">
                  <v>45749</v>
                </pt>
                <pt idx="247">
                  <v>45750</v>
                </pt>
                <pt idx="248">
                  <v>45751</v>
                </pt>
                <pt idx="249">
                  <v>45754</v>
                </pt>
                <pt idx="250">
                  <v>45755</v>
                </pt>
                <pt idx="251">
                  <v>45756</v>
                </pt>
                <pt idx="252">
                  <v>45757</v>
                </pt>
                <pt idx="253">
                  <v>45758</v>
                </pt>
                <pt idx="254">
                  <v>45761</v>
                </pt>
                <pt idx="255">
                  <v>45762</v>
                </pt>
                <pt idx="256">
                  <v>45763</v>
                </pt>
                <pt idx="257">
                  <v>45764</v>
                </pt>
                <pt idx="258">
                  <v>45765</v>
                </pt>
                <pt idx="259">
                  <v>45768</v>
                </pt>
                <pt idx="260">
                  <v>45769</v>
                </pt>
                <pt idx="261">
                  <v>45770</v>
                </pt>
                <pt idx="262">
                  <v>45771</v>
                </pt>
                <pt idx="263">
                  <v>45772</v>
                </pt>
                <pt idx="264">
                  <v>45775</v>
                </pt>
                <pt idx="265">
                  <v>45776</v>
                </pt>
                <pt idx="266">
                  <v>45777</v>
                </pt>
                <pt idx="267">
                  <v>45779</v>
                </pt>
                <pt idx="268">
                  <v>45784</v>
                </pt>
                <pt idx="269">
                  <v>45785</v>
                </pt>
                <pt idx="270">
                  <v>45786</v>
                </pt>
                <pt idx="271">
                  <v>45789</v>
                </pt>
                <pt idx="272">
                  <v>45790</v>
                </pt>
                <pt idx="273">
                  <v>45791</v>
                </pt>
                <pt idx="274">
                  <v>45792</v>
                </pt>
                <pt idx="275">
                  <v>45793</v>
                </pt>
                <pt idx="276">
                  <v>45796</v>
                </pt>
                <pt idx="277">
                  <v>45797</v>
                </pt>
                <pt idx="278">
                  <v>45798</v>
                </pt>
                <pt idx="279">
                  <v>45799</v>
                </pt>
                <pt idx="280">
                  <v>45800</v>
                </pt>
                <pt idx="281">
                  <v>45803</v>
                </pt>
                <pt idx="282">
                  <v>45804</v>
                </pt>
                <pt idx="283">
                  <v>45805</v>
                </pt>
                <pt idx="284">
                  <v>45806</v>
                </pt>
                <pt idx="285">
                  <v>45807</v>
                </pt>
                <pt idx="286">
                  <v>45810</v>
                </pt>
                <pt idx="287">
                  <v>45812</v>
                </pt>
                <pt idx="288">
                  <v>45813</v>
                </pt>
                <pt idx="289">
                  <v>45817</v>
                </pt>
                <pt idx="290">
                  <v>45818</v>
                </pt>
                <pt idx="291">
                  <v>45819</v>
                </pt>
                <pt idx="292">
                  <v>45820</v>
                </pt>
                <pt idx="293">
                  <v>45821</v>
                </pt>
                <pt idx="294">
                  <v>45824</v>
                </pt>
                <pt idx="295">
                  <v>45825</v>
                </pt>
                <pt idx="296">
                  <v>45826</v>
                </pt>
                <pt idx="297">
                  <v>45827</v>
                </pt>
                <pt idx="298">
                  <v>45828</v>
                </pt>
                <pt idx="299">
                  <v>45831</v>
                </pt>
                <pt idx="300">
                  <v>45832</v>
                </pt>
                <pt idx="301">
                  <v>45833</v>
                </pt>
                <pt idx="302">
                  <v>45834</v>
                </pt>
                <pt idx="303">
                  <v>45835</v>
                </pt>
                <pt idx="304">
                  <v>45838</v>
                </pt>
                <pt idx="305">
                  <v>45839</v>
                </pt>
                <pt idx="306">
                  <v>45840</v>
                </pt>
                <pt idx="307">
                  <v>45841</v>
                </pt>
                <pt idx="308">
                  <v>45842</v>
                </pt>
                <pt idx="309">
                  <v>45845</v>
                </pt>
                <pt idx="310">
                  <v>45846</v>
                </pt>
                <pt idx="311">
                  <v>45847</v>
                </pt>
                <pt idx="312">
                  <v>45848</v>
                </pt>
                <pt idx="313">
                  <v>45849</v>
                </pt>
                <pt idx="314">
                  <v>45852</v>
                </pt>
                <pt idx="315">
                  <v>45853</v>
                </pt>
                <pt idx="316">
                  <v>45854</v>
                </pt>
                <pt idx="317">
                  <v>45855</v>
                </pt>
                <pt idx="318">
                  <v>45856</v>
                </pt>
                <pt idx="319">
                  <v>45859</v>
                </pt>
                <pt idx="320">
                  <v>45860</v>
                </pt>
                <pt idx="321">
                  <v>45861</v>
                </pt>
                <pt idx="322">
                  <v>45862</v>
                </pt>
                <pt idx="323">
                  <v>45863</v>
                </pt>
                <pt idx="324">
                  <v>45866</v>
                </pt>
                <pt idx="325">
                  <v>45867</v>
                </pt>
                <pt idx="326">
                  <v>45868</v>
                </pt>
                <pt idx="327">
                  <v>45869</v>
                </pt>
                <pt idx="328">
                  <v>45870</v>
                </pt>
                <pt idx="329">
                  <v>45873</v>
                </pt>
                <pt idx="330">
                  <v>45874</v>
                </pt>
                <pt idx="331">
                  <v>45875</v>
                </pt>
                <pt idx="332">
                  <v>45876</v>
                </pt>
                <pt idx="333">
                  <v>45877</v>
                </pt>
                <pt idx="334">
                  <v>45880</v>
                </pt>
                <pt idx="335">
                  <v>45881</v>
                </pt>
                <pt idx="336">
                  <v>45882</v>
                </pt>
                <pt idx="337">
                  <v>45883</v>
                </pt>
                <pt idx="338">
                  <v>45887</v>
                </pt>
                <pt idx="339">
                  <v>45888</v>
                </pt>
                <pt idx="340">
                  <v>45889</v>
                </pt>
                <pt idx="341">
                  <v>45890</v>
                </pt>
                <pt idx="342">
                  <v>45891</v>
                </pt>
                <pt idx="343">
                  <v>45894</v>
                </pt>
                <pt idx="344">
                  <v>45895</v>
                </pt>
                <pt idx="345">
                  <v>45896</v>
                </pt>
                <pt idx="346">
                  <v>45897</v>
                </pt>
                <pt idx="347">
                  <v>45898</v>
                </pt>
                <pt idx="348">
                  <v>45901</v>
                </pt>
                <pt idx="349">
                  <v>45902</v>
                </pt>
                <pt idx="350">
                  <v>45903</v>
                </pt>
                <pt idx="351">
                  <v>45904</v>
                </pt>
                <pt idx="352">
                  <v>45905</v>
                </pt>
                <pt idx="353">
                  <v>45908</v>
                </pt>
                <pt idx="354">
                  <v>45909</v>
                </pt>
                <pt idx="355">
                  <v>45910</v>
                </pt>
                <pt idx="356">
                  <v>45911</v>
                </pt>
                <pt idx="357">
                  <v>45912</v>
                </pt>
                <pt idx="358">
                  <v>45915</v>
                </pt>
                <pt idx="359">
                  <v>45916</v>
                </pt>
                <pt idx="360">
                  <v>45917</v>
                </pt>
                <pt idx="361">
                  <v>45918</v>
                </pt>
                <pt idx="362">
                  <v>45919</v>
                </pt>
                <pt idx="363">
                  <v>45922</v>
                </pt>
                <pt idx="364">
                  <v>45923</v>
                </pt>
                <pt idx="365">
                  <v>45924</v>
                </pt>
                <pt idx="366">
                  <v>45925</v>
                </pt>
                <pt idx="367">
                  <v>45926</v>
                </pt>
                <pt idx="368">
                  <v>45929</v>
                </pt>
                <pt idx="369">
                  <v>45930</v>
                </pt>
                <pt idx="370">
                  <v>45931</v>
                </pt>
                <pt idx="371">
                  <v>45932</v>
                </pt>
                <pt idx="372">
                  <v>45940</v>
                </pt>
                <pt idx="373">
                  <v>45943</v>
                </pt>
                <pt idx="374">
                  <v>45944</v>
                </pt>
                <pt idx="375">
                  <v>45945</v>
                </pt>
                <pt idx="376">
                  <v>45946</v>
                </pt>
                <pt idx="377">
                  <v>45947</v>
                </pt>
                <pt idx="378">
                  <v>45950</v>
                </pt>
                <pt idx="379">
                  <v>45951</v>
                </pt>
                <pt idx="380">
                  <v>45952</v>
                </pt>
                <pt idx="381">
                  <v>45953</v>
                </pt>
                <pt idx="382">
                  <v>45954</v>
                </pt>
                <pt idx="383">
                  <v>45957</v>
                </pt>
                <pt idx="384">
                  <v>45958</v>
                </pt>
                <pt idx="385">
                  <v>45959</v>
                </pt>
                <pt idx="386">
                  <v>45960</v>
                </pt>
                <pt idx="387">
                  <v>45961</v>
                </pt>
                <pt idx="388">
                  <v>45964</v>
                </pt>
                <pt idx="389">
                  <v>45965</v>
                </pt>
                <pt idx="390">
                  <v>45966</v>
                </pt>
                <pt idx="391">
                  <v>45967</v>
                </pt>
                <pt idx="392">
                  <v>45968</v>
                </pt>
                <pt idx="393">
                  <v>45971</v>
                </pt>
                <pt idx="394">
                  <v>45972</v>
                </pt>
                <pt idx="395">
                  <v>45973</v>
                </pt>
                <pt idx="396">
                  <v>45974</v>
                </pt>
                <pt idx="397">
                  <v>45975</v>
                </pt>
                <pt idx="398">
                  <v>45978</v>
                </pt>
                <pt idx="399">
                  <v>45979</v>
                </pt>
                <pt idx="400">
                  <v>45980</v>
                </pt>
                <pt idx="401">
                  <v>45981</v>
                </pt>
                <pt idx="402">
                  <v>45982</v>
                </pt>
                <pt idx="403">
                  <v>45985</v>
                </pt>
                <pt idx="404">
                  <v>45986</v>
                </pt>
                <pt idx="405">
                  <v>45987</v>
                </pt>
                <pt idx="406">
                  <v>45988</v>
                </pt>
                <pt idx="407">
                  <v>45989</v>
                </pt>
                <pt idx="408">
                  <v>45992</v>
                </pt>
                <pt idx="409">
                  <v>45993</v>
                </pt>
                <pt idx="410">
                  <v>45994</v>
                </pt>
                <pt idx="411">
                  <v>45995</v>
                </pt>
                <pt idx="412">
                  <v>45996</v>
                </pt>
                <pt idx="413">
                  <v>45999</v>
                </pt>
                <pt idx="414">
                  <v>46000</v>
                </pt>
                <pt idx="415">
                  <v>46001</v>
                </pt>
                <pt idx="416">
                  <v>46002</v>
                </pt>
                <pt idx="417">
                  <v>46003</v>
                </pt>
                <pt idx="418">
                  <v>46006</v>
                </pt>
                <pt idx="419">
                  <v>46007</v>
                </pt>
                <pt idx="420">
                  <v>46008</v>
                </pt>
                <pt idx="421">
                  <v>46009</v>
                </pt>
                <pt idx="422">
                  <v>46010</v>
                </pt>
                <pt idx="423">
                  <v>46013</v>
                </pt>
                <pt idx="424">
                  <v>46014</v>
                </pt>
                <pt idx="425">
                  <v>46015</v>
                </pt>
                <pt idx="426">
                  <v>46017</v>
                </pt>
                <pt idx="427">
                  <v>46020</v>
                </pt>
                <pt idx="428">
                  <v>46021</v>
                </pt>
                <pt idx="429">
                  <v>46024</v>
                </pt>
                <pt idx="430">
                  <v>46027</v>
                </pt>
                <pt idx="431">
                  <v>46028</v>
                </pt>
                <pt idx="432">
                  <v>46029</v>
                </pt>
                <pt idx="433">
                  <v>46030</v>
                </pt>
                <pt idx="434">
                  <v>46031</v>
                </pt>
                <pt idx="435">
                  <v>46034</v>
                </pt>
                <pt idx="436">
                  <v>46035</v>
                </pt>
                <pt idx="437">
                  <v>46036</v>
                </pt>
                <pt idx="438">
                  <v>46037</v>
                </pt>
                <pt idx="439">
                  <v>46038</v>
                </pt>
                <pt idx="440">
                  <v>46041</v>
                </pt>
                <pt idx="441">
                  <v>46042</v>
                </pt>
                <pt idx="442">
                  <v>46043</v>
                </pt>
                <pt idx="443">
                  <v>46044</v>
                </pt>
                <pt idx="444">
                  <v>46045</v>
                </pt>
                <pt idx="445">
                  <v>46048</v>
                </pt>
                <pt idx="446">
                  <v>46049</v>
                </pt>
                <pt idx="447">
                  <v>46050</v>
                </pt>
                <pt idx="448">
                  <v>46051</v>
                </pt>
                <pt idx="449">
                  <v>46052</v>
                </pt>
                <pt idx="450">
                  <v>46055</v>
                </pt>
                <pt idx="451">
                  <v>46056</v>
                </pt>
                <pt idx="452">
                  <v>46057</v>
                </pt>
                <pt idx="453">
                  <v>46058</v>
                </pt>
                <pt idx="454">
                  <v>46059</v>
                </pt>
                <pt idx="455">
                  <v>46062</v>
                </pt>
                <pt idx="456">
                  <v>46063</v>
                </pt>
                <pt idx="457">
                  <v>46064</v>
                </pt>
                <pt idx="458">
                  <v>46065</v>
                </pt>
                <pt idx="459">
                  <v>46066</v>
                </pt>
                <pt idx="460">
                  <v>46072</v>
                </pt>
                <pt idx="461">
                  <v>46073</v>
                </pt>
                <pt idx="462">
                  <v>46076</v>
                </pt>
                <pt idx="463">
                  <v>46077</v>
                </pt>
                <pt idx="464">
                  <v>46078</v>
                </pt>
                <pt idx="465">
                  <v>46079</v>
                </pt>
                <pt idx="466">
                  <v>46080</v>
                </pt>
                <pt idx="467">
                  <v>46084</v>
                </pt>
                <pt idx="468">
                  <v>46085</v>
                </pt>
                <pt idx="469">
                  <v>46086</v>
                </pt>
                <pt idx="470">
                  <v>46087</v>
                </pt>
                <pt idx="471">
                  <v>46090</v>
                </pt>
                <pt idx="472">
                  <v>46091</v>
                </pt>
                <pt idx="473">
                  <v>46092</v>
                </pt>
                <pt idx="474">
                  <v>46093</v>
                </pt>
                <pt idx="475">
                  <v>46094</v>
                </pt>
                <pt idx="476">
                  <v>46097</v>
                </pt>
                <pt idx="477">
                  <v>46098</v>
                </pt>
                <pt idx="478">
                  <v>46099</v>
                </pt>
                <pt idx="479">
                  <v>46100</v>
                </pt>
                <pt idx="480">
                  <v>46101</v>
                </pt>
                <pt idx="481">
                  <v>46104</v>
                </pt>
                <pt idx="482">
                  <v>46105</v>
                </pt>
                <pt idx="483">
                  <v>46106</v>
                </pt>
                <pt idx="484">
                  <v>46107</v>
                </pt>
                <pt idx="485">
                  <v>46108</v>
                </pt>
                <pt idx="486">
                  <v>46111</v>
                </pt>
                <pt idx="487">
                  <v>46112</v>
                </pt>
                <pt idx="488">
                  <v>46113</v>
                </pt>
                <pt idx="489">
                  <v>46114</v>
                </pt>
                <pt idx="490">
                  <v>46115</v>
                </pt>
                <pt idx="491">
                  <v>46118</v>
                </pt>
                <pt idx="492">
                  <v>46119</v>
                </pt>
                <pt idx="493">
                  <v>46120</v>
                </pt>
                <pt idx="494">
                  <v>46121</v>
                </pt>
                <pt idx="495">
                  <v>46122</v>
                </pt>
                <pt idx="496">
                  <v>46125</v>
                </pt>
                <pt idx="497">
                  <v>46126</v>
                </pt>
                <pt idx="498">
                  <v>46127</v>
                </pt>
                <pt idx="499">
                  <v>46128</v>
                </pt>
                <pt idx="500">
                  <v>46129</v>
                </pt>
                <pt idx="501">
                  <v>46132</v>
                </pt>
                <pt idx="502">
                  <v>46133</v>
                </pt>
                <pt idx="503">
                  <v>46134</v>
                </pt>
                <pt idx="504">
                  <v>46135</v>
                </pt>
                <pt idx="505">
                  <v>46136</v>
                </pt>
                <pt idx="506">
                  <v>46139</v>
                </pt>
                <pt idx="507">
                  <v>46140</v>
                </pt>
                <pt idx="508">
                  <v>46141</v>
                </pt>
                <pt idx="509">
                  <v>46142</v>
                </pt>
                <pt idx="510">
                  <v>46146</v>
                </pt>
                <pt idx="511">
                  <v>46148</v>
                </pt>
                <pt idx="512">
                  <v>46149</v>
                </pt>
                <pt idx="513">
                  <v>46150</v>
                </pt>
                <pt idx="514">
                  <v>46153</v>
                </pt>
                <pt idx="515">
                  <v>46154</v>
                </pt>
                <pt idx="516">
                  <v>46155</v>
                </pt>
                <pt idx="517">
                  <v>46156</v>
                </pt>
                <pt idx="518">
                  <v>46157</v>
                </pt>
                <pt idx="519">
                  <v>46160</v>
                </pt>
                <pt idx="520">
                  <v>46161</v>
                </pt>
                <pt idx="521">
                  <v>46162</v>
                </pt>
                <pt idx="522">
                  <v>46163</v>
                </pt>
                <pt idx="523">
                  <v>46164</v>
                </pt>
                <pt idx="524">
                  <v>46168</v>
                </pt>
                <pt idx="525">
                  <v>46169</v>
                </pt>
                <pt idx="526">
                  <v>46170</v>
                </pt>
                <pt idx="527">
                  <v>46171</v>
                </pt>
                <pt idx="528">
                  <v>46174</v>
                </pt>
                <pt idx="529">
                  <v>46175</v>
                </pt>
                <pt idx="530">
                  <v>46177</v>
                </pt>
                <pt idx="531">
                  <v>46178</v>
                </pt>
                <pt idx="532">
                  <v>46181</v>
                </pt>
                <pt idx="533">
                  <v>46182</v>
                </pt>
                <pt idx="534">
                  <v>46183</v>
                </pt>
                <pt idx="535">
                  <v>46184</v>
                </pt>
                <pt idx="536">
                  <v>46185</v>
                </pt>
                <pt idx="537">
                  <v>46188</v>
                </pt>
                <pt idx="538">
                  <v>46189</v>
                </pt>
                <pt idx="539">
                  <v>46190</v>
                </pt>
                <pt idx="540">
                  <v>46191</v>
                </pt>
                <pt idx="541">
                  <v>46192</v>
                </pt>
                <pt idx="542">
                  <v>46195</v>
                </pt>
                <pt idx="543">
                  <v>46196</v>
                </pt>
                <pt idx="544">
                  <v>46197</v>
                </pt>
                <pt idx="545">
                  <v>46198</v>
                </pt>
                <pt idx="546">
                  <v>46199</v>
                </pt>
                <pt idx="547">
                  <v>46202</v>
                </pt>
                <pt idx="548">
                  <v>46203</v>
                </pt>
                <pt idx="549">
                  <v>46204</v>
                </pt>
                <pt idx="550">
                  <v>46205</v>
                </pt>
                <pt idx="551">
                  <v>46206</v>
                </pt>
                <pt idx="552">
                  <v>46209</v>
                </pt>
                <pt idx="553">
                  <v>46210</v>
                </pt>
                <pt idx="554">
                  <v>46211</v>
                </pt>
                <pt idx="555">
                  <v>46212</v>
                </pt>
                <pt idx="556">
                  <v>46213</v>
                </pt>
                <pt idx="557">
                  <v>46216</v>
                </pt>
                <pt idx="558">
                  <v>46217</v>
                </pt>
                <pt idx="559">
                  <v>46218</v>
                </pt>
                <pt idx="560">
                  <v>46219</v>
                </pt>
                <pt idx="561">
                  <v>46223</v>
                </pt>
                <pt idx="562">
                  <v>46224</v>
                </pt>
                <pt idx="563">
                  <v>46225</v>
                </pt>
                <pt idx="564">
                  <v>46226</v>
                </pt>
                <pt idx="565">
                  <v>46227</v>
                </pt>
                <pt idx="566">
                  <v>46230</v>
                </pt>
                <pt idx="567">
                  <v>46231</v>
                </pt>
                <pt idx="568">
                  <v>46232</v>
                </pt>
                <pt idx="569">
                  <v>46233</v>
                </pt>
                <pt idx="570">
                  <v>46234</v>
                </pt>
                <pt idx="571">
                  <v>46237</v>
                </pt>
                <pt idx="572">
                  <v>46238</v>
                </pt>
                <pt idx="573">
                  <v>46239</v>
                </pt>
                <pt idx="574">
                  <v>46240</v>
                </pt>
                <pt idx="575">
                  <v>46241</v>
                </pt>
                <pt idx="576">
                  <v>46244</v>
                </pt>
                <pt idx="577">
                  <v>46245</v>
                </pt>
                <pt idx="578">
                  <v>46246</v>
                </pt>
                <pt idx="579">
                  <v>46247</v>
                </pt>
                <pt idx="580">
                  <v>46248</v>
                </pt>
                <pt idx="581">
                  <v>46252</v>
                </pt>
                <pt idx="582">
                  <v>46253</v>
                </pt>
                <pt idx="583">
                  <v>46254</v>
                </pt>
                <pt idx="584">
                  <v>46255</v>
                </pt>
                <pt idx="585">
                  <v>46258</v>
                </pt>
                <pt idx="586">
                  <v>46259</v>
                </pt>
              </numCache>
            </numRef>
          </cat>
          <val>
            <numRef>
              <f>주가데이터!$B$2:$B$588</f>
              <numCache>
                <formatCode>#,##0</formatCode>
                <ptCount val="587"/>
                <pt idx="0">
                  <v>65000</v>
                </pt>
                <pt idx="1">
                  <v>66800</v>
                </pt>
                <pt idx="2">
                  <v>61400</v>
                </pt>
                <pt idx="3">
                  <v>68700</v>
                </pt>
                <pt idx="4">
                  <v>66700</v>
                </pt>
                <pt idx="5">
                  <v>60500</v>
                </pt>
                <pt idx="6">
                  <v>59100</v>
                </pt>
                <pt idx="7">
                  <v>59400</v>
                </pt>
                <pt idx="8">
                  <v>56500</v>
                </pt>
                <pt idx="9">
                  <v>53600</v>
                </pt>
                <pt idx="10">
                  <v>51200</v>
                </pt>
                <pt idx="11">
                  <v>50600</v>
                </pt>
                <pt idx="12">
                  <v>52900</v>
                </pt>
                <pt idx="13">
                  <v>49950</v>
                </pt>
                <pt idx="14">
                  <v>46200</v>
                </pt>
                <pt idx="15">
                  <v>49500</v>
                </pt>
                <pt idx="16">
                  <v>51500</v>
                </pt>
                <pt idx="17">
                  <v>48800</v>
                </pt>
                <pt idx="18">
                  <v>48750</v>
                </pt>
                <pt idx="19">
                  <v>48500</v>
                </pt>
                <pt idx="20">
                  <v>48300</v>
                </pt>
                <pt idx="21">
                  <v>46500</v>
                </pt>
                <pt idx="22">
                  <v>39300</v>
                </pt>
                <pt idx="23">
                  <v>39300</v>
                </pt>
                <pt idx="24">
                  <v>39200</v>
                </pt>
                <pt idx="25">
                  <v>39200</v>
                </pt>
                <pt idx="26">
                  <v>39300</v>
                </pt>
                <pt idx="27">
                  <v>37900</v>
                </pt>
                <pt idx="28">
                  <v>37100</v>
                </pt>
                <pt idx="29">
                  <v>35500</v>
                </pt>
                <pt idx="30">
                  <v>35700</v>
                </pt>
                <pt idx="31">
                  <v>35200</v>
                </pt>
                <pt idx="32">
                  <v>35950</v>
                </pt>
                <pt idx="33">
                  <v>35800</v>
                </pt>
                <pt idx="34">
                  <v>34650</v>
                </pt>
                <pt idx="35">
                  <v>33900</v>
                </pt>
                <pt idx="36">
                  <v>33150</v>
                </pt>
                <pt idx="37">
                  <v>37600</v>
                </pt>
                <pt idx="38">
                  <v>39800</v>
                </pt>
                <pt idx="39">
                  <v>38250</v>
                </pt>
                <pt idx="40">
                  <v>39000</v>
                </pt>
                <pt idx="41">
                  <v>38600</v>
                </pt>
                <pt idx="42">
                  <v>37100</v>
                </pt>
                <pt idx="43">
                  <v>35350</v>
                </pt>
                <pt idx="44">
                  <v>38950</v>
                </pt>
                <pt idx="45">
                  <v>38200</v>
                </pt>
                <pt idx="46">
                  <v>36800</v>
                </pt>
                <pt idx="47">
                  <v>36800</v>
                </pt>
                <pt idx="48">
                  <v>37550</v>
                </pt>
                <pt idx="49">
                  <v>36300</v>
                </pt>
                <pt idx="50">
                  <v>36800</v>
                </pt>
                <pt idx="51">
                  <v>37950</v>
                </pt>
                <pt idx="52">
                  <v>38450</v>
                </pt>
                <pt idx="53">
                  <v>39050</v>
                </pt>
                <pt idx="54">
                  <v>37700</v>
                </pt>
                <pt idx="55">
                  <v>38350</v>
                </pt>
                <pt idx="56">
                  <v>36750</v>
                </pt>
                <pt idx="57">
                  <v>36100</v>
                </pt>
                <pt idx="58">
                  <v>35800</v>
                </pt>
                <pt idx="59">
                  <v>35250</v>
                </pt>
                <pt idx="60">
                  <v>34650</v>
                </pt>
                <pt idx="61">
                  <v>33900</v>
                </pt>
                <pt idx="62">
                  <v>33900</v>
                </pt>
                <pt idx="63">
                  <v>33900</v>
                </pt>
                <pt idx="64">
                  <v>33700</v>
                </pt>
                <pt idx="65">
                  <v>31850</v>
                </pt>
                <pt idx="66">
                  <v>30950</v>
                </pt>
                <pt idx="67">
                  <v>30850</v>
                </pt>
                <pt idx="68">
                  <v>30750</v>
                </pt>
                <pt idx="69">
                  <v>31500</v>
                </pt>
                <pt idx="70">
                  <v>32100</v>
                </pt>
                <pt idx="71">
                  <v>32550</v>
                </pt>
                <pt idx="72">
                  <v>32350</v>
                </pt>
                <pt idx="73">
                  <v>32600</v>
                </pt>
                <pt idx="74">
                  <v>31950</v>
                </pt>
                <pt idx="75">
                  <v>30700</v>
                </pt>
                <pt idx="76">
                  <v>30700</v>
                </pt>
                <pt idx="77">
                  <v>29750</v>
                </pt>
                <pt idx="78">
                  <v>30150</v>
                </pt>
                <pt idx="79">
                  <v>29350</v>
                </pt>
                <pt idx="80">
                  <v>29500</v>
                </pt>
                <pt idx="81">
                  <v>28800</v>
                </pt>
                <pt idx="82">
                  <v>27600</v>
                </pt>
                <pt idx="83">
                  <v>27350</v>
                </pt>
                <pt idx="84">
                  <v>28200</v>
                </pt>
                <pt idx="85">
                  <v>27950</v>
                </pt>
                <pt idx="86">
                  <v>27700</v>
                </pt>
                <pt idx="87">
                  <v>28000</v>
                </pt>
                <pt idx="88">
                  <v>25900</v>
                </pt>
                <pt idx="89">
                  <v>21800</v>
                </pt>
                <pt idx="90">
                  <v>23000</v>
                </pt>
                <pt idx="91">
                  <v>24100</v>
                </pt>
                <pt idx="92">
                  <v>23750</v>
                </pt>
                <pt idx="93">
                  <v>24200</v>
                </pt>
                <pt idx="94">
                  <v>24750</v>
                </pt>
                <pt idx="95">
                  <v>24050</v>
                </pt>
                <pt idx="96">
                  <v>24600</v>
                </pt>
                <pt idx="97">
                  <v>24900</v>
                </pt>
                <pt idx="98">
                  <v>24350</v>
                </pt>
                <pt idx="99">
                  <v>25600</v>
                </pt>
                <pt idx="100">
                  <v>26850</v>
                </pt>
                <pt idx="101">
                  <v>25850</v>
                </pt>
                <pt idx="102">
                  <v>25900</v>
                </pt>
                <pt idx="103">
                  <v>26450</v>
                </pt>
                <pt idx="104">
                  <v>25900</v>
                </pt>
                <pt idx="105">
                  <v>24950</v>
                </pt>
                <pt idx="106">
                  <v>25200</v>
                </pt>
                <pt idx="107">
                  <v>25200</v>
                </pt>
                <pt idx="108">
                  <v>27250</v>
                </pt>
                <pt idx="109">
                  <v>26250</v>
                </pt>
                <pt idx="110">
                  <v>24650</v>
                </pt>
                <pt idx="111">
                  <v>23950</v>
                </pt>
                <pt idx="112">
                  <v>22400</v>
                </pt>
                <pt idx="113">
                  <v>22100</v>
                </pt>
                <pt idx="114">
                  <v>21750</v>
                </pt>
                <pt idx="115">
                  <v>22400</v>
                </pt>
                <pt idx="116">
                  <v>29050</v>
                </pt>
                <pt idx="117">
                  <v>27600</v>
                </pt>
                <pt idx="118">
                  <v>28200</v>
                </pt>
                <pt idx="119">
                  <v>28750</v>
                </pt>
                <pt idx="120">
                  <v>29850</v>
                </pt>
                <pt idx="121">
                  <v>29250</v>
                </pt>
                <pt idx="122">
                  <v>28500</v>
                </pt>
                <pt idx="123">
                  <v>28700</v>
                </pt>
                <pt idx="124">
                  <v>28200</v>
                </pt>
                <pt idx="125">
                  <v>28150</v>
                </pt>
                <pt idx="126">
                  <v>27750</v>
                </pt>
                <pt idx="127">
                  <v>27500</v>
                </pt>
                <pt idx="128">
                  <v>28450</v>
                </pt>
                <pt idx="129">
                  <v>27700</v>
                </pt>
                <pt idx="130">
                  <v>26250</v>
                </pt>
                <pt idx="131">
                  <v>26050</v>
                </pt>
                <pt idx="132">
                  <v>26900</v>
                </pt>
                <pt idx="133">
                  <v>26400</v>
                </pt>
                <pt idx="134">
                  <v>25300</v>
                </pt>
                <pt idx="135">
                  <v>24950</v>
                </pt>
                <pt idx="136">
                  <v>24350</v>
                </pt>
                <pt idx="137">
                  <v>24400</v>
                </pt>
                <pt idx="138">
                  <v>23400</v>
                </pt>
                <pt idx="139">
                  <v>23450</v>
                </pt>
                <pt idx="140">
                  <v>24400</v>
                </pt>
                <pt idx="141">
                  <v>25000</v>
                </pt>
                <pt idx="142">
                  <v>24600</v>
                </pt>
                <pt idx="143">
                  <v>24100</v>
                </pt>
                <pt idx="144">
                  <v>23550</v>
                </pt>
                <pt idx="145">
                  <v>23550</v>
                </pt>
                <pt idx="146">
                  <v>22500</v>
                </pt>
                <pt idx="147">
                  <v>23050</v>
                </pt>
                <pt idx="148">
                  <v>23500</v>
                </pt>
                <pt idx="149">
                  <v>22700</v>
                </pt>
                <pt idx="150">
                  <v>23950</v>
                </pt>
                <pt idx="151">
                  <v>24100</v>
                </pt>
                <pt idx="152">
                  <v>23400</v>
                </pt>
                <pt idx="153">
                  <v>24600</v>
                </pt>
                <pt idx="154">
                  <v>22550</v>
                </pt>
                <pt idx="155">
                  <v>22000</v>
                </pt>
                <pt idx="156">
                  <v>22850</v>
                </pt>
                <pt idx="157">
                  <v>23450</v>
                </pt>
                <pt idx="158">
                  <v>24100</v>
                </pt>
                <pt idx="159">
                  <v>23600</v>
                </pt>
                <pt idx="160">
                  <v>23200</v>
                </pt>
                <pt idx="161">
                  <v>23800</v>
                </pt>
                <pt idx="162">
                  <v>24000</v>
                </pt>
                <pt idx="163">
                  <v>24300</v>
                </pt>
                <pt idx="164">
                  <v>25500</v>
                </pt>
                <pt idx="165">
                  <v>25800</v>
                </pt>
                <pt idx="166">
                  <v>24850</v>
                </pt>
                <pt idx="167">
                  <v>23700</v>
                </pt>
                <pt idx="168">
                  <v>24050</v>
                </pt>
                <pt idx="169">
                  <v>22900</v>
                </pt>
                <pt idx="170">
                  <v>22500</v>
                </pt>
                <pt idx="171">
                  <v>23350</v>
                </pt>
                <pt idx="172">
                  <v>20800</v>
                </pt>
                <pt idx="173">
                  <v>21650</v>
                </pt>
                <pt idx="174">
                  <v>22950</v>
                </pt>
                <pt idx="175">
                  <v>22700</v>
                </pt>
                <pt idx="176">
                  <v>22750</v>
                </pt>
                <pt idx="177">
                  <v>23050</v>
                </pt>
                <pt idx="178">
                  <v>22800</v>
                </pt>
                <pt idx="179">
                  <v>22950</v>
                </pt>
                <pt idx="180">
                  <v>22300</v>
                </pt>
                <pt idx="181">
                  <v>21300</v>
                </pt>
                <pt idx="182">
                  <v>21700</v>
                </pt>
                <pt idx="183">
                  <v>22350</v>
                </pt>
                <pt idx="184">
                  <v>22300</v>
                </pt>
                <pt idx="185">
                  <v>21650</v>
                </pt>
                <pt idx="186">
                  <v>23050</v>
                </pt>
                <pt idx="187">
                  <v>26850</v>
                </pt>
                <pt idx="188">
                  <v>25800</v>
                </pt>
                <pt idx="189">
                  <v>26450</v>
                </pt>
                <pt idx="190">
                  <v>26000</v>
                </pt>
                <pt idx="191">
                  <v>25300</v>
                </pt>
                <pt idx="192">
                  <v>28100</v>
                </pt>
                <pt idx="193">
                  <v>28100</v>
                </pt>
                <pt idx="194">
                  <v>28750</v>
                </pt>
                <pt idx="195">
                  <v>28600</v>
                </pt>
                <pt idx="196">
                  <v>27400</v>
                </pt>
                <pt idx="197">
                  <v>28600</v>
                </pt>
                <pt idx="198">
                  <v>28750</v>
                </pt>
                <pt idx="199">
                  <v>29500</v>
                </pt>
                <pt idx="200">
                  <v>30350</v>
                </pt>
                <pt idx="201">
                  <v>29750</v>
                </pt>
                <pt idx="202">
                  <v>28500</v>
                </pt>
                <pt idx="203">
                  <v>29050</v>
                </pt>
                <pt idx="204">
                  <v>30000</v>
                </pt>
                <pt idx="205">
                  <v>28550</v>
                </pt>
                <pt idx="206">
                  <v>30300</v>
                </pt>
                <pt idx="207">
                  <v>31100</v>
                </pt>
                <pt idx="208">
                  <v>30150</v>
                </pt>
                <pt idx="209">
                  <v>30600</v>
                </pt>
                <pt idx="210">
                  <v>31500</v>
                </pt>
                <pt idx="211">
                  <v>30650</v>
                </pt>
                <pt idx="212">
                  <v>29400</v>
                </pt>
                <pt idx="213">
                  <v>29600</v>
                </pt>
                <pt idx="214">
                  <v>29100</v>
                </pt>
                <pt idx="215">
                  <v>29150</v>
                </pt>
                <pt idx="216">
                  <v>30550</v>
                </pt>
                <pt idx="217">
                  <v>29950</v>
                </pt>
                <pt idx="218">
                  <v>28700</v>
                </pt>
                <pt idx="219">
                  <v>29050</v>
                </pt>
                <pt idx="220">
                  <v>28000</v>
                </pt>
                <pt idx="221">
                  <v>27900</v>
                </pt>
                <pt idx="222">
                  <v>27850</v>
                </pt>
                <pt idx="223">
                  <v>27300</v>
                </pt>
                <pt idx="224">
                  <v>25800</v>
                </pt>
                <pt idx="225">
                  <v>26750</v>
                </pt>
                <pt idx="226">
                  <v>27500</v>
                </pt>
                <pt idx="227">
                  <v>25950</v>
                </pt>
                <pt idx="228">
                  <v>25800</v>
                </pt>
                <pt idx="229">
                  <v>26650</v>
                </pt>
                <pt idx="230">
                  <v>27400</v>
                </pt>
                <pt idx="231">
                  <v>27600</v>
                </pt>
                <pt idx="232">
                  <v>27000</v>
                </pt>
                <pt idx="233">
                  <v>28850</v>
                </pt>
                <pt idx="234">
                  <v>28800</v>
                </pt>
                <pt idx="235">
                  <v>28900</v>
                </pt>
                <pt idx="236">
                  <v>27900</v>
                </pt>
                <pt idx="237">
                  <v>27550</v>
                </pt>
                <pt idx="238">
                  <v>26300</v>
                </pt>
                <pt idx="239">
                  <v>26350</v>
                </pt>
                <pt idx="240">
                  <v>25500</v>
                </pt>
                <pt idx="241">
                  <v>25850</v>
                </pt>
                <pt idx="242">
                  <v>25300</v>
                </pt>
                <pt idx="243">
                  <v>24100</v>
                </pt>
                <pt idx="244">
                  <v>23150</v>
                </pt>
                <pt idx="245">
                  <v>23400</v>
                </pt>
                <pt idx="246">
                  <v>22900</v>
                </pt>
                <pt idx="247">
                  <v>22950</v>
                </pt>
                <pt idx="248">
                  <v>22850</v>
                </pt>
                <pt idx="249">
                  <v>21100</v>
                </pt>
                <pt idx="250">
                  <v>20600</v>
                </pt>
                <pt idx="251">
                  <v>19640</v>
                </pt>
                <pt idx="252">
                  <v>21400</v>
                </pt>
                <pt idx="253">
                  <v>23450</v>
                </pt>
                <pt idx="254">
                  <v>24150</v>
                </pt>
                <pt idx="255">
                  <v>24450</v>
                </pt>
                <pt idx="256">
                  <v>24000</v>
                </pt>
                <pt idx="257">
                  <v>24250</v>
                </pt>
                <pt idx="258">
                  <v>24350</v>
                </pt>
                <pt idx="259">
                  <v>24050</v>
                </pt>
                <pt idx="260">
                  <v>24200</v>
                </pt>
                <pt idx="261">
                  <v>24650</v>
                </pt>
                <pt idx="262">
                  <v>24800</v>
                </pt>
                <pt idx="263">
                  <v>24350</v>
                </pt>
                <pt idx="264">
                  <v>23750</v>
                </pt>
                <pt idx="265">
                  <v>23950</v>
                </pt>
                <pt idx="266">
                  <v>23150</v>
                </pt>
                <pt idx="267">
                  <v>23150</v>
                </pt>
                <pt idx="268">
                  <v>23700</v>
                </pt>
                <pt idx="269">
                  <v>23900</v>
                </pt>
                <pt idx="270">
                  <v>23250</v>
                </pt>
                <pt idx="271">
                  <v>24200</v>
                </pt>
                <pt idx="272">
                  <v>24650</v>
                </pt>
                <pt idx="273">
                  <v>25900</v>
                </pt>
                <pt idx="274">
                  <v>25700</v>
                </pt>
                <pt idx="275">
                  <v>25200</v>
                </pt>
                <pt idx="276">
                  <v>24100</v>
                </pt>
                <pt idx="277">
                  <v>23850</v>
                </pt>
                <pt idx="278">
                  <v>23900</v>
                </pt>
                <pt idx="279">
                  <v>23500</v>
                </pt>
                <pt idx="280">
                  <v>23050</v>
                </pt>
                <pt idx="281">
                  <v>23300</v>
                </pt>
                <pt idx="282">
                  <v>23150</v>
                </pt>
                <pt idx="283">
                  <v>23350</v>
                </pt>
                <pt idx="284">
                  <v>23350</v>
                </pt>
                <pt idx="285">
                  <v>23050</v>
                </pt>
                <pt idx="286">
                  <v>22900</v>
                </pt>
                <pt idx="287">
                  <v>23700</v>
                </pt>
                <pt idx="288">
                  <v>23850</v>
                </pt>
                <pt idx="289">
                  <v>23850</v>
                </pt>
                <pt idx="290">
                  <v>24000</v>
                </pt>
                <pt idx="291">
                  <v>24050</v>
                </pt>
                <pt idx="292">
                  <v>24250</v>
                </pt>
                <pt idx="293">
                  <v>23250</v>
                </pt>
                <pt idx="294">
                  <v>23000</v>
                </pt>
                <pt idx="295">
                  <v>22700</v>
                </pt>
                <pt idx="296">
                  <v>22950</v>
                </pt>
                <pt idx="297">
                  <v>23500</v>
                </pt>
                <pt idx="298">
                  <v>23650</v>
                </pt>
                <pt idx="299">
                  <v>24800</v>
                </pt>
                <pt idx="300">
                  <v>25200</v>
                </pt>
                <pt idx="301">
                  <v>24850</v>
                </pt>
                <pt idx="302">
                  <v>24250</v>
                </pt>
                <pt idx="303">
                  <v>24500</v>
                </pt>
                <pt idx="304">
                  <v>24150</v>
                </pt>
                <pt idx="305">
                  <v>24100</v>
                </pt>
                <pt idx="306">
                  <v>23750</v>
                </pt>
                <pt idx="307">
                  <v>23900</v>
                </pt>
                <pt idx="308">
                  <v>23950</v>
                </pt>
                <pt idx="309">
                  <v>23350</v>
                </pt>
                <pt idx="310">
                  <v>23000</v>
                </pt>
                <pt idx="311">
                  <v>23250</v>
                </pt>
                <pt idx="312">
                  <v>23100</v>
                </pt>
                <pt idx="313">
                  <v>23100</v>
                </pt>
                <pt idx="314">
                  <v>22950</v>
                </pt>
                <pt idx="315">
                  <v>23600</v>
                </pt>
                <pt idx="316">
                  <v>23250</v>
                </pt>
                <pt idx="317">
                  <v>24450</v>
                </pt>
                <pt idx="318">
                  <v>24300</v>
                </pt>
                <pt idx="319">
                  <v>24250</v>
                </pt>
                <pt idx="320">
                  <v>23550</v>
                </pt>
                <pt idx="321">
                  <v>23350</v>
                </pt>
                <pt idx="322">
                  <v>23300</v>
                </pt>
                <pt idx="323">
                  <v>23150</v>
                </pt>
                <pt idx="324">
                  <v>22950</v>
                </pt>
                <pt idx="325">
                  <v>23000</v>
                </pt>
                <pt idx="326">
                  <v>23050</v>
                </pt>
                <pt idx="327">
                  <v>22950</v>
                </pt>
                <pt idx="328">
                  <v>22050</v>
                </pt>
                <pt idx="329">
                  <v>21850</v>
                </pt>
                <pt idx="330">
                  <v>22300</v>
                </pt>
                <pt idx="331">
                  <v>22450</v>
                </pt>
                <pt idx="332">
                  <v>22600</v>
                </pt>
                <pt idx="333">
                  <v>22550</v>
                </pt>
                <pt idx="334">
                  <v>22650</v>
                </pt>
                <pt idx="335">
                  <v>22750</v>
                </pt>
                <pt idx="336">
                  <v>22650</v>
                </pt>
                <pt idx="337">
                  <v>22450</v>
                </pt>
                <pt idx="338">
                  <v>22000</v>
                </pt>
                <pt idx="339">
                  <v>21700</v>
                </pt>
                <pt idx="340">
                  <v>21050</v>
                </pt>
                <pt idx="341">
                  <v>20800</v>
                </pt>
                <pt idx="342">
                  <v>20950</v>
                </pt>
                <pt idx="343">
                  <v>22150</v>
                </pt>
                <pt idx="344">
                  <v>22100</v>
                </pt>
                <pt idx="345">
                  <v>22150</v>
                </pt>
                <pt idx="346">
                  <v>21950</v>
                </pt>
                <pt idx="347">
                  <v>21200</v>
                </pt>
                <pt idx="348">
                  <v>20750</v>
                </pt>
                <pt idx="349">
                  <v>21800</v>
                </pt>
                <pt idx="350">
                  <v>21600</v>
                </pt>
                <pt idx="351">
                  <v>21800</v>
                </pt>
                <pt idx="352">
                  <v>21900</v>
                </pt>
                <pt idx="353">
                  <v>21750</v>
                </pt>
                <pt idx="354">
                  <v>21600</v>
                </pt>
                <pt idx="355">
                  <v>21950</v>
                </pt>
                <pt idx="356">
                  <v>21900</v>
                </pt>
                <pt idx="357">
                  <v>22200</v>
                </pt>
                <pt idx="358">
                  <v>22950</v>
                </pt>
                <pt idx="359">
                  <v>23750</v>
                </pt>
                <pt idx="360">
                  <v>23250</v>
                </pt>
                <pt idx="361">
                  <v>24750</v>
                </pt>
                <pt idx="362">
                  <v>25450</v>
                </pt>
                <pt idx="363">
                  <v>26700</v>
                </pt>
                <pt idx="364">
                  <v>25800</v>
                </pt>
                <pt idx="365">
                  <v>24600</v>
                </pt>
                <pt idx="366">
                  <v>24100</v>
                </pt>
                <pt idx="367">
                  <v>24200</v>
                </pt>
                <pt idx="368">
                  <v>24950</v>
                </pt>
                <pt idx="369">
                  <v>25000</v>
                </pt>
                <pt idx="370">
                  <v>24400</v>
                </pt>
                <pt idx="371">
                  <v>23900</v>
                </pt>
                <pt idx="372">
                  <v>26400</v>
                </pt>
                <pt idx="373">
                  <v>26650</v>
                </pt>
                <pt idx="374">
                  <v>25650</v>
                </pt>
                <pt idx="375">
                  <v>30500</v>
                </pt>
                <pt idx="376">
                  <v>32100</v>
                </pt>
                <pt idx="377">
                  <v>30250</v>
                </pt>
                <pt idx="378">
                  <v>31700</v>
                </pt>
                <pt idx="379">
                  <v>31100</v>
                </pt>
                <pt idx="380">
                  <v>31050</v>
                </pt>
                <pt idx="381">
                  <v>29950</v>
                </pt>
                <pt idx="382">
                  <v>30350</v>
                </pt>
                <pt idx="383">
                  <v>30300</v>
                </pt>
                <pt idx="384">
                  <v>29900</v>
                </pt>
                <pt idx="385">
                  <v>29450</v>
                </pt>
                <pt idx="386">
                  <v>29400</v>
                </pt>
                <pt idx="387">
                  <v>31050</v>
                </pt>
                <pt idx="388">
                  <v>33650</v>
                </pt>
                <pt idx="389">
                  <v>32800</v>
                </pt>
                <pt idx="390">
                  <v>30100</v>
                </pt>
                <pt idx="391">
                  <v>28700</v>
                </pt>
                <pt idx="392">
                  <v>27750</v>
                </pt>
                <pt idx="393">
                  <v>28400</v>
                </pt>
                <pt idx="394">
                  <v>28350</v>
                </pt>
                <pt idx="395">
                  <v>28950</v>
                </pt>
                <pt idx="396">
                  <v>29350</v>
                </pt>
                <pt idx="397">
                  <v>27550</v>
                </pt>
                <pt idx="398">
                  <v>27250</v>
                </pt>
                <pt idx="399">
                  <v>25800</v>
                </pt>
                <pt idx="400">
                  <v>27750</v>
                </pt>
                <pt idx="401">
                  <v>28250</v>
                </pt>
                <pt idx="402">
                  <v>29700</v>
                </pt>
                <pt idx="403">
                  <v>28900</v>
                </pt>
                <pt idx="404">
                  <v>28000</v>
                </pt>
                <pt idx="405">
                  <v>28250</v>
                </pt>
                <pt idx="406">
                  <v>29200</v>
                </pt>
                <pt idx="407">
                  <v>31200</v>
                </pt>
                <pt idx="408">
                  <v>30000</v>
                </pt>
                <pt idx="409">
                  <v>31300</v>
                </pt>
                <pt idx="410">
                  <v>32400</v>
                </pt>
                <pt idx="411">
                  <v>32300</v>
                </pt>
                <pt idx="412">
                  <v>31250</v>
                </pt>
                <pt idx="413">
                  <v>31800</v>
                </pt>
                <pt idx="414">
                  <v>31600</v>
                </pt>
                <pt idx="415">
                  <v>31300</v>
                </pt>
                <pt idx="416">
                  <v>31250</v>
                </pt>
                <pt idx="417">
                  <v>32850</v>
                </pt>
                <pt idx="418">
                  <v>32600</v>
                </pt>
                <pt idx="419">
                  <v>31100</v>
                </pt>
                <pt idx="420">
                  <v>30050</v>
                </pt>
                <pt idx="421">
                  <v>30050</v>
                </pt>
                <pt idx="422">
                  <v>30600</v>
                </pt>
                <pt idx="423">
                  <v>32100</v>
                </pt>
                <pt idx="424">
                  <v>30950</v>
                </pt>
                <pt idx="425">
                  <v>30050</v>
                </pt>
                <pt idx="426">
                  <v>30400</v>
                </pt>
                <pt idx="427">
                  <v>32750</v>
                </pt>
                <pt idx="428">
                  <v>30650</v>
                </pt>
                <pt idx="429">
                  <v>31300</v>
                </pt>
                <pt idx="430">
                  <v>31350</v>
                </pt>
                <pt idx="431">
                  <v>30500</v>
                </pt>
                <pt idx="432">
                  <v>30300</v>
                </pt>
                <pt idx="433">
                  <v>29300</v>
                </pt>
                <pt idx="434">
                  <v>28850</v>
                </pt>
                <pt idx="435">
                  <v>29100</v>
                </pt>
                <pt idx="436">
                  <v>30350</v>
                </pt>
                <pt idx="437">
                  <v>31450</v>
                </pt>
                <pt idx="438">
                  <v>37500</v>
                </pt>
                <pt idx="439">
                  <v>34600</v>
                </pt>
                <pt idx="440">
                  <v>36500</v>
                </pt>
                <pt idx="441">
                  <v>36600</v>
                </pt>
                <pt idx="442">
                  <v>38750</v>
                </pt>
                <pt idx="443">
                  <v>38700</v>
                </pt>
                <pt idx="444">
                  <v>36800</v>
                </pt>
                <pt idx="445">
                  <v>39500</v>
                </pt>
                <pt idx="446">
                  <v>38150</v>
                </pt>
                <pt idx="447">
                  <v>38200</v>
                </pt>
                <pt idx="448">
                  <v>37350</v>
                </pt>
                <pt idx="449">
                  <v>37200</v>
                </pt>
                <pt idx="450">
                  <v>35200</v>
                </pt>
                <pt idx="451">
                  <v>36750</v>
                </pt>
                <pt idx="452">
                  <v>37200</v>
                </pt>
                <pt idx="453">
                  <v>35350</v>
                </pt>
                <pt idx="454">
                  <v>33300</v>
                </pt>
                <pt idx="455">
                  <v>34400</v>
                </pt>
                <pt idx="456">
                  <v>34700</v>
                </pt>
                <pt idx="457">
                  <v>34900</v>
                </pt>
                <pt idx="458">
                  <v>35650</v>
                </pt>
                <pt idx="459">
                  <v>35000</v>
                </pt>
                <pt idx="460">
                  <v>35100</v>
                </pt>
                <pt idx="461">
                  <v>34200</v>
                </pt>
                <pt idx="462">
                  <v>33400</v>
                </pt>
                <pt idx="463">
                  <v>34300</v>
                </pt>
                <pt idx="464">
                  <v>35000</v>
                </pt>
                <pt idx="465">
                  <v>35200</v>
                </pt>
                <pt idx="466">
                  <v>34450</v>
                </pt>
                <pt idx="467">
                  <v>30800</v>
                </pt>
                <pt idx="468">
                  <v>25600</v>
                </pt>
                <pt idx="469">
                  <v>28100</v>
                </pt>
                <pt idx="470">
                  <v>29050</v>
                </pt>
                <pt idx="471">
                  <v>26800</v>
                </pt>
                <pt idx="472">
                  <v>27900</v>
                </pt>
                <pt idx="473">
                  <v>29150</v>
                </pt>
                <pt idx="474">
                  <v>28700</v>
                </pt>
                <pt idx="475">
                  <v>28250</v>
                </pt>
                <pt idx="476">
                  <v>27400</v>
                </pt>
                <pt idx="477">
                  <v>27700</v>
                </pt>
                <pt idx="478">
                  <v>28300</v>
                </pt>
                <pt idx="479">
                  <v>27550</v>
                </pt>
                <pt idx="480">
                  <v>27600</v>
                </pt>
                <pt idx="481">
                  <v>25850</v>
                </pt>
                <pt idx="482">
                  <v>26650</v>
                </pt>
                <pt idx="483">
                  <v>27650</v>
                </pt>
                <pt idx="484">
                  <v>26700</v>
                </pt>
                <pt idx="485">
                  <v>26800</v>
                </pt>
                <pt idx="486">
                  <v>25700</v>
                </pt>
                <pt idx="487">
                  <v>24800</v>
                </pt>
                <pt idx="488">
                  <v>26600</v>
                </pt>
                <pt idx="489">
                  <v>25700</v>
                </pt>
                <pt idx="490">
                  <v>25700</v>
                </pt>
                <pt idx="491">
                  <v>25300</v>
                </pt>
                <pt idx="492">
                  <v>25400</v>
                </pt>
                <pt idx="493">
                  <v>27250</v>
                </pt>
                <pt idx="494">
                  <v>28000</v>
                </pt>
                <pt idx="495">
                  <v>27400</v>
                </pt>
                <pt idx="496">
                  <v>26650</v>
                </pt>
                <pt idx="497">
                  <v>27650</v>
                </pt>
                <pt idx="498">
                  <v>28300</v>
                </pt>
                <pt idx="499">
                  <v>28800</v>
                </pt>
                <pt idx="500">
                  <v>29150</v>
                </pt>
                <pt idx="501">
                  <v>28700</v>
                </pt>
                <pt idx="502">
                  <v>28850</v>
                </pt>
                <pt idx="503">
                  <v>28900</v>
                </pt>
                <pt idx="504">
                  <v>28650</v>
                </pt>
                <pt idx="505">
                  <v>29050</v>
                </pt>
                <pt idx="506">
                  <v>30050</v>
                </pt>
                <pt idx="507">
                  <v>29900</v>
                </pt>
                <pt idx="508">
                  <v>30350</v>
                </pt>
                <pt idx="509">
                  <v>30350</v>
                </pt>
                <pt idx="510">
                  <v>30200</v>
                </pt>
                <pt idx="511">
                  <v>29150</v>
                </pt>
                <pt idx="512">
                  <v>28500</v>
                </pt>
                <pt idx="513">
                  <v>29000</v>
                </pt>
                <pt idx="514">
                  <v>28500</v>
                </pt>
                <pt idx="515">
                  <v>28250</v>
                </pt>
                <pt idx="516">
                  <v>29000</v>
                </pt>
                <pt idx="517">
                  <v>29950</v>
                </pt>
                <pt idx="518">
                  <v>29750</v>
                </pt>
                <pt idx="519">
                  <v>29000</v>
                </pt>
                <pt idx="520">
                  <v>26800</v>
                </pt>
                <pt idx="521">
                  <v>25200</v>
                </pt>
                <pt idx="522">
                  <v>27850</v>
                </pt>
                <pt idx="523">
                  <v>28100</v>
                </pt>
                <pt idx="524">
                  <v>27400</v>
                </pt>
                <pt idx="525">
                  <v>25850</v>
                </pt>
                <pt idx="526">
                  <v>25450</v>
                </pt>
                <pt idx="527">
                  <v>25900</v>
                </pt>
                <pt idx="528">
                  <v>31600</v>
                </pt>
                <pt idx="529">
                  <v>29300</v>
                </pt>
                <pt idx="530">
                  <v>27200</v>
                </pt>
                <pt idx="531">
                  <v>26400</v>
                </pt>
                <pt idx="532">
                  <v>22950</v>
                </pt>
                <pt idx="533">
                  <v>23300</v>
                </pt>
                <pt idx="534">
                  <v>22450</v>
                </pt>
                <pt idx="535">
                  <v>21950</v>
                </pt>
                <pt idx="536">
                  <v>25100</v>
                </pt>
                <pt idx="537">
                  <v>25250</v>
                </pt>
                <pt idx="538">
                  <v>24550</v>
                </pt>
                <pt idx="539">
                  <v>24100</v>
                </pt>
                <pt idx="540">
                  <v>23500</v>
                </pt>
                <pt idx="541">
                  <v>22250</v>
                </pt>
                <pt idx="542">
                  <v>21600</v>
                </pt>
                <pt idx="543">
                  <v>19810</v>
                </pt>
                <pt idx="544">
                  <v>20500</v>
                </pt>
                <pt idx="545">
                  <v>20100</v>
                </pt>
                <pt idx="546">
                  <v>18230</v>
                </pt>
                <pt idx="547">
                  <v>20150</v>
                </pt>
                <pt idx="548">
                  <v>20250</v>
                </pt>
                <pt idx="549">
                  <v>20700</v>
                </pt>
                <pt idx="550">
                  <v>19100</v>
                </pt>
                <pt idx="551">
                  <v>18440</v>
                </pt>
                <pt idx="552">
                  <v>18600</v>
                </pt>
                <pt idx="553">
                  <v>17350</v>
                </pt>
                <pt idx="554">
                  <v>15980</v>
                </pt>
                <pt idx="555">
                  <v>16090</v>
                </pt>
                <pt idx="556">
                  <v>18240</v>
                </pt>
                <pt idx="557">
                  <v>17070</v>
                </pt>
                <pt idx="558">
                  <v>16150</v>
                </pt>
                <pt idx="559">
                  <v>17150</v>
                </pt>
                <pt idx="560">
                  <v>16470</v>
                </pt>
                <pt idx="561">
                  <v>15140</v>
                </pt>
                <pt idx="562">
                  <v>15950</v>
                </pt>
                <pt idx="563">
                  <v>16950</v>
                </pt>
                <pt idx="564">
                  <v>17510</v>
                </pt>
                <pt idx="565">
                  <v>16490</v>
                </pt>
                <pt idx="566">
                  <v>17670</v>
                </pt>
                <pt idx="567">
                  <v>15900</v>
                </pt>
                <pt idx="568">
                  <v>20650</v>
                </pt>
                <pt idx="569">
                  <v>19050</v>
                </pt>
                <pt idx="570">
                  <v>20150</v>
                </pt>
                <pt idx="571">
                  <v>22700</v>
                </pt>
                <pt idx="572">
                  <v>22500</v>
                </pt>
                <pt idx="573">
                  <v>23000</v>
                </pt>
                <pt idx="574">
                  <v>23100</v>
                </pt>
                <pt idx="575">
                  <v>22100</v>
                </pt>
                <pt idx="576">
                  <v>22300</v>
                </pt>
                <pt idx="577">
                  <v>22400</v>
                </pt>
                <pt idx="578">
                  <v>22450</v>
                </pt>
                <pt idx="579">
                  <v>22700</v>
                </pt>
                <pt idx="580">
                  <v>22950</v>
                </pt>
                <pt idx="581">
                  <v>22650</v>
                </pt>
                <pt idx="582">
                  <v>21250</v>
                </pt>
                <pt idx="583">
                  <v>21700</v>
                </pt>
                <pt idx="584">
                  <v>20350</v>
                </pt>
                <pt idx="585">
                  <v>20100</v>
                </pt>
                <pt idx="586">
                  <v>20850</v>
                </pt>
              </numCache>
            </numRef>
          </val>
          <smooth val="0"/>
        </ser>
        <dLbls>
          <showLegendKey val="0"/>
          <showVal val="0"/>
          <showCatName val="0"/>
          <showSerName val="0"/>
          <showPercent val="0"/>
          <showBubbleSize val="0"/>
        </dLbls>
        <smooth val="0"/>
        <axId val="947654664"/>
        <axId val="947654992"/>
      </lineChart>
      <dateAx>
        <axId val="947654664"/>
        <scaling>
          <orientation val="minMax"/>
        </scaling>
        <delete val="0"/>
        <axPos val="b"/>
        <numFmt formatCode="yyyy/mm/dd;@"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ko-KR"/>
          </a:p>
        </txPr>
        <crossAx val="947654992"/>
        <crosses val="autoZero"/>
        <lblOffset val="100"/>
        <baseTimeUnit val="days"/>
      </dateAx>
      <valAx>
        <axId val="94765499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ko-KR"/>
          </a:p>
        </txPr>
        <crossAx val="947654664"/>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11</col>
      <colOff>447675</colOff>
      <row>4</row>
      <rowOff>47625</rowOff>
    </from>
    <to>
      <col>18</col>
      <colOff>219075</colOff>
      <row>16</row>
      <rowOff>276225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Administrator" refreshedDate="46260.43658912037" createdVersion="6" refreshedVersion="6" minRefreshableVersion="3" recordCount="587" r:id="rId1">
  <cacheSource type="worksheet">
    <worksheetSource ref="A1:K588" sheet="주가데이터"/>
  </cacheSource>
  <cacheFields count="11">
    <cacheField name="일자" uniqueList="1" numFmtId="180" sqlType="0" hierarchy="0" level="0" databaseField="1">
      <sharedItems count="587">
        <s v="2024/03/26"/>
        <s v="2024/03/27"/>
        <s v="2024/03/28"/>
        <s v="2024/03/29"/>
        <s v="2024/04/01"/>
        <s v="2024/04/02"/>
        <s v="2024/04/03"/>
        <s v="2024/04/04"/>
        <s v="2024/04/05"/>
        <s v="2024/04/08"/>
        <s v="2024/04/09"/>
        <s v="2024/04/11"/>
        <s v="2024/04/12"/>
        <s v="2024/04/15"/>
        <s v="2024/04/16"/>
        <s v="2024/04/17"/>
        <s v="2024/04/18"/>
        <s v="2024/04/19"/>
        <s v="2024/04/22"/>
        <s v="2024/04/23"/>
        <s v="2024/04/24"/>
        <s v="2024/04/25"/>
        <s v="2024/04/26"/>
        <s v="2024/04/29"/>
        <s v="2024/04/30"/>
        <s v="2024/05/02"/>
        <s v="2024/05/03"/>
        <s v="2024/05/07"/>
        <s v="2024/05/08"/>
        <s v="2024/05/09"/>
        <s v="2024/05/10"/>
        <s v="2024/05/13"/>
        <s v="2024/05/14"/>
        <s v="2024/05/16"/>
        <s v="2024/05/17"/>
        <s v="2024/05/20"/>
        <s v="2024/05/21"/>
        <s v="2024/05/22"/>
        <s v="2024/05/23"/>
        <s v="2024/05/24"/>
        <s v="2024/05/27"/>
        <s v="2024/05/28"/>
        <s v="2024/05/29"/>
        <s v="2024/05/30"/>
        <s v="2024/05/31"/>
        <s v="2024/06/03"/>
        <s v="2024/06/04"/>
        <s v="2024/06/05"/>
        <s v="2024/06/07"/>
        <s v="2024/06/10"/>
        <s v="2024/06/11"/>
        <s v="2024/06/12"/>
        <s v="2024/06/13"/>
        <s v="2024/06/14"/>
        <s v="2024/06/17"/>
        <s v="2024/06/18"/>
        <s v="2024/06/19"/>
        <s v="2024/06/20"/>
        <s v="2024/06/21"/>
        <s v="2024/06/24"/>
        <s v="2024/06/25"/>
        <s v="2024/06/26"/>
        <s v="2024/06/27"/>
        <s v="2024/06/28"/>
        <s v="2024/07/01"/>
        <s v="2024/07/02"/>
        <s v="2024/07/03"/>
        <s v="2024/07/04"/>
        <s v="2024/07/05"/>
        <s v="2024/07/08"/>
        <s v="2024/07/09"/>
        <s v="2024/07/10"/>
        <s v="2024/07/11"/>
        <s v="2024/07/12"/>
        <s v="2024/07/15"/>
        <s v="2024/07/16"/>
        <s v="2024/07/17"/>
        <s v="2024/07/18"/>
        <s v="2024/07/19"/>
        <s v="2024/07/22"/>
        <s v="2024/07/23"/>
        <s v="2024/07/24"/>
        <s v="2024/07/25"/>
        <s v="2024/07/26"/>
        <s v="2024/07/29"/>
        <s v="2024/07/30"/>
        <s v="2024/07/31"/>
        <s v="2024/08/01"/>
        <s v="2024/08/02"/>
        <s v="2024/08/05"/>
        <s v="2024/08/06"/>
        <s v="2024/08/07"/>
        <s v="2024/08/08"/>
        <s v="2024/08/09"/>
        <s v="2024/08/12"/>
        <s v="2024/08/13"/>
        <s v="2024/08/14"/>
        <s v="2024/08/16"/>
        <s v="2024/08/19"/>
        <s v="2024/08/20"/>
        <s v="2024/08/21"/>
        <s v="2024/08/22"/>
        <s v="2024/08/23"/>
        <s v="2024/08/26"/>
        <s v="2024/08/27"/>
        <s v="2024/08/28"/>
        <s v="2024/08/29"/>
        <s v="2024/08/30"/>
        <s v="2024/09/02"/>
        <s v="2024/09/03"/>
        <s v="2024/09/04"/>
        <s v="2024/09/05"/>
        <s v="2024/09/06"/>
        <s v="2024/09/09"/>
        <s v="2024/09/10"/>
        <s v="2024/09/11"/>
        <s v="2024/09/12"/>
        <s v="2024/09/13"/>
        <s v="2024/09/19"/>
        <s v="2024/09/20"/>
        <s v="2024/09/23"/>
        <s v="2024/09/24"/>
        <s v="2024/09/25"/>
        <s v="2024/09/26"/>
        <s v="2024/09/27"/>
        <s v="2024/09/30"/>
        <s v="2024/10/02"/>
        <s v="2024/10/04"/>
        <s v="2024/10/07"/>
        <s v="2024/10/08"/>
        <s v="2024/10/10"/>
        <s v="2024/10/11"/>
        <s v="2024/10/14"/>
        <s v="2024/10/15"/>
        <s v="2024/10/16"/>
        <s v="2024/10/17"/>
        <s v="2024/10/18"/>
        <s v="2024/10/21"/>
        <s v="2024/10/22"/>
        <s v="2024/10/23"/>
        <s v="2024/10/24"/>
        <s v="2024/10/25"/>
        <s v="2024/10/28"/>
        <s v="2024/10/29"/>
        <s v="2024/10/30"/>
        <s v="2024/10/31"/>
        <s v="2024/11/01"/>
        <s v="2024/11/04"/>
        <s v="2024/11/05"/>
        <s v="2024/11/06"/>
        <s v="2024/11/07"/>
        <s v="2024/11/08"/>
        <s v="2024/11/11"/>
        <s v="2024/11/12"/>
        <s v="2024/11/13"/>
        <s v="2024/11/14"/>
        <s v="2024/11/15"/>
        <s v="2024/11/18"/>
        <s v="2024/11/19"/>
        <s v="2024/11/20"/>
        <s v="2024/11/21"/>
        <s v="2024/11/22"/>
        <s v="2024/11/25"/>
        <s v="2024/11/26"/>
        <s v="2024/11/27"/>
        <s v="2024/11/28"/>
        <s v="2024/11/29"/>
        <s v="2024/12/02"/>
        <s v="2024/12/03"/>
        <s v="2024/12/04"/>
        <s v="2024/12/05"/>
        <s v="2024/12/06"/>
        <s v="2024/12/09"/>
        <s v="2024/12/10"/>
        <s v="2024/12/11"/>
        <s v="2024/12/12"/>
        <s v="2024/12/13"/>
        <s v="2024/12/16"/>
        <s v="2024/12/17"/>
        <s v="2024/12/18"/>
        <s v="2024/12/19"/>
        <s v="2024/12/20"/>
        <s v="2024/12/23"/>
        <s v="2024/12/24"/>
        <s v="2024/12/26"/>
        <s v="2024/12/27"/>
        <s v="2024/12/30"/>
        <s v="2025/01/02"/>
        <s v="2025/01/03"/>
        <s v="2025/01/06"/>
        <s v="2025/01/07"/>
        <s v="2025/01/08"/>
        <s v="2025/01/09"/>
        <s v="2025/01/10"/>
        <s v="2025/01/13"/>
        <s v="2025/01/14"/>
        <s v="2025/01/15"/>
        <s v="2025/01/16"/>
        <s v="2025/01/17"/>
        <s v="2025/01/20"/>
        <s v="2025/01/21"/>
        <s v="2025/01/22"/>
        <s v="2025/01/23"/>
        <s v="2025/01/24"/>
        <s v="2025/01/31"/>
        <s v="2025/02/03"/>
        <s v="2025/02/04"/>
        <s v="2025/02/05"/>
        <s v="2025/02/06"/>
        <s v="2025/02/07"/>
        <s v="2025/02/10"/>
        <s v="2025/02/11"/>
        <s v="2025/02/12"/>
        <s v="2025/02/13"/>
        <s v="2025/02/14"/>
        <s v="2025/02/17"/>
        <s v="2025/02/18"/>
        <s v="2025/02/19"/>
        <s v="2025/02/20"/>
        <s v="2025/02/21"/>
        <s v="2025/02/24"/>
        <s v="2025/02/25"/>
        <s v="2025/02/26"/>
        <s v="2025/02/27"/>
        <s v="2025/02/28"/>
        <s v="2025/03/04"/>
        <s v="2025/03/05"/>
        <s v="2025/03/06"/>
        <s v="2025/03/07"/>
        <s v="2025/03/10"/>
        <s v="2025/03/11"/>
        <s v="2025/03/12"/>
        <s v="2025/03/13"/>
        <s v="2025/03/14"/>
        <s v="2025/03/17"/>
        <s v="2025/03/18"/>
        <s v="2025/03/19"/>
        <s v="2025/03/20"/>
        <s v="2025/03/21"/>
        <s v="2025/03/24"/>
        <s v="2025/03/25"/>
        <s v="2025/03/26"/>
        <s v="2025/03/27"/>
        <s v="2025/03/28"/>
        <s v="2025/03/31"/>
        <s v="2025/04/01"/>
        <s v="2025/04/02"/>
        <s v="2025/04/03"/>
        <s v="2025/04/04"/>
        <s v="2025/04/07"/>
        <s v="2025/04/08"/>
        <s v="2025/04/09"/>
        <s v="2025/04/10"/>
        <s v="2025/04/11"/>
        <s v="2025/04/14"/>
        <s v="2025/04/15"/>
        <s v="2025/04/16"/>
        <s v="2025/04/17"/>
        <s v="2025/04/18"/>
        <s v="2025/04/21"/>
        <s v="2025/04/22"/>
        <s v="2025/04/23"/>
        <s v="2025/04/24"/>
        <s v="2025/04/25"/>
        <s v="2025/04/28"/>
        <s v="2025/04/29"/>
        <s v="2025/04/30"/>
        <s v="2025/05/02"/>
        <s v="2025/05/07"/>
        <s v="2025/05/08"/>
        <s v="2025/05/09"/>
        <s v="2025/05/12"/>
        <s v="2025/05/13"/>
        <s v="2025/05/14"/>
        <s v="2025/05/15"/>
        <s v="2025/05/16"/>
        <s v="2025/05/19"/>
        <s v="2025/05/20"/>
        <s v="2025/05/21"/>
        <s v="2025/05/22"/>
        <s v="2025/05/23"/>
        <s v="2025/05/26"/>
        <s v="2025/05/27"/>
        <s v="2025/05/28"/>
        <s v="2025/05/29"/>
        <s v="2025/05/30"/>
        <s v="2025/06/02"/>
        <s v="2025/06/04"/>
        <s v="2025/06/05"/>
        <s v="2025/06/09"/>
        <s v="2025/06/10"/>
        <s v="2025/06/11"/>
        <s v="2025/06/12"/>
        <s v="2025/06/13"/>
        <s v="2025/06/16"/>
        <s v="2025/06/17"/>
        <s v="2025/06/18"/>
        <s v="2025/06/19"/>
        <s v="2025/06/20"/>
        <s v="2025/06/23"/>
        <s v="2025/06/24"/>
        <s v="2025/06/25"/>
        <s v="2025/06/26"/>
        <s v="2025/06/27"/>
        <s v="2025/06/30"/>
        <s v="2025/07/01"/>
        <s v="2025/07/02"/>
        <s v="2025/07/03"/>
        <s v="2025/07/04"/>
        <s v="2025/07/07"/>
        <s v="2025/07/08"/>
        <s v="2025/07/09"/>
        <s v="2025/07/10"/>
        <s v="2025/07/11"/>
        <s v="2025/07/14"/>
        <s v="2025/07/15"/>
        <s v="2025/07/16"/>
        <s v="2025/07/17"/>
        <s v="2025/07/18"/>
        <s v="2025/07/21"/>
        <s v="2025/07/22"/>
        <s v="2025/07/23"/>
        <s v="2025/07/24"/>
        <s v="2025/07/25"/>
        <s v="2025/07/28"/>
        <s v="2025/07/29"/>
        <s v="2025/07/30"/>
        <s v="2025/07/31"/>
        <s v="2025/08/01"/>
        <s v="2025/08/04"/>
        <s v="2025/08/05"/>
        <s v="2025/08/06"/>
        <s v="2025/08/07"/>
        <s v="2025/08/08"/>
        <s v="2025/08/11"/>
        <s v="2025/08/12"/>
        <s v="2025/08/13"/>
        <s v="2025/08/14"/>
        <s v="2025/08/18"/>
        <s v="2025/08/19"/>
        <s v="2025/08/20"/>
        <s v="2025/08/21"/>
        <s v="2025/08/22"/>
        <s v="2025/08/25"/>
        <s v="2025/08/26"/>
        <s v="2025/08/27"/>
        <s v="2025/08/28"/>
        <s v="2025/08/29"/>
        <s v="2025/09/01"/>
        <s v="2025/09/02"/>
        <s v="2025/09/03"/>
        <s v="2025/09/04"/>
        <s v="2025/09/05"/>
        <s v="2025/09/08"/>
        <s v="2025/09/09"/>
        <s v="2025/09/10"/>
        <s v="2025/09/11"/>
        <s v="2025/09/12"/>
        <s v="2025/09/15"/>
        <s v="2025/09/16"/>
        <s v="2025/09/17"/>
        <s v="2025/09/18"/>
        <s v="2025/09/19"/>
        <s v="2025/09/22"/>
        <s v="2025/09/23"/>
        <s v="2025/09/24"/>
        <s v="2025/09/25"/>
        <s v="2025/09/26"/>
        <s v="2025/09/29"/>
        <s v="2025/09/30"/>
        <s v="2025/10/01"/>
        <s v="2025/10/02"/>
        <s v="2025/10/10"/>
        <s v="2025/10/13"/>
        <s v="2025/10/14"/>
        <s v="2025/10/15"/>
        <s v="2025/10/16"/>
        <s v="2025/10/17"/>
        <s v="2025/10/20"/>
        <s v="2025/10/21"/>
        <s v="2025/10/22"/>
        <s v="2025/10/23"/>
        <s v="2025/10/24"/>
        <s v="2025/10/27"/>
        <s v="2025/10/28"/>
        <s v="2025/10/29"/>
        <s v="2025/10/30"/>
        <s v="2025/10/31"/>
        <s v="2025/11/03"/>
        <s v="2025/11/04"/>
        <s v="2025/11/05"/>
        <s v="2025/11/06"/>
        <s v="2025/11/07"/>
        <s v="2025/11/10"/>
        <s v="2025/11/11"/>
        <s v="2025/11/12"/>
        <s v="2025/11/13"/>
        <s v="2025/11/14"/>
        <s v="2025/11/17"/>
        <s v="2025/11/18"/>
        <s v="2025/11/19"/>
        <s v="2025/11/20"/>
        <s v="2025/11/21"/>
        <s v="2025/11/24"/>
        <s v="2025/11/25"/>
        <s v="2025/11/26"/>
        <s v="2025/11/27"/>
        <s v="2025/11/28"/>
        <s v="2025/12/01"/>
        <s v="2025/12/02"/>
        <s v="2025/12/03"/>
        <s v="2025/12/04"/>
        <s v="2025/12/05"/>
        <s v="2025/12/08"/>
        <s v="2025/12/09"/>
        <s v="2025/12/10"/>
        <s v="2025/12/11"/>
        <s v="2025/12/12"/>
        <s v="2025/12/15"/>
        <s v="2025/12/16"/>
        <s v="2025/12/17"/>
        <s v="2025/12/18"/>
        <s v="2025/12/19"/>
        <s v="2025/12/22"/>
        <s v="2025/12/23"/>
        <s v="2025/12/24"/>
        <s v="2025/12/26"/>
        <s v="2025/12/29"/>
        <s v="2025/12/30"/>
        <s v="2026/01/02"/>
        <s v="2026/01/05"/>
        <s v="2026/01/06"/>
        <s v="2026/01/07"/>
        <s v="2026/01/08"/>
        <s v="2026/01/09"/>
        <s v="2026/01/12"/>
        <s v="2026/01/13"/>
        <s v="2026/01/14"/>
        <s v="2026/01/15"/>
        <s v="2026/01/16"/>
        <s v="2026/01/19"/>
        <s v="2026/01/20"/>
        <s v="2026/01/21"/>
        <s v="2026/01/22"/>
        <s v="2026/01/23"/>
        <s v="2026/01/26"/>
        <s v="2026/01/27"/>
        <s v="2026/01/28"/>
        <s v="2026/01/29"/>
        <s v="2026/01/30"/>
        <s v="2026/02/02"/>
        <s v="2026/02/03"/>
        <s v="2026/02/04"/>
        <s v="2026/02/05"/>
        <s v="2026/02/06"/>
        <s v="2026/02/09"/>
        <s v="2026/02/10"/>
        <s v="2026/02/11"/>
        <s v="2026/02/12"/>
        <s v="2026/02/13"/>
        <s v="2026/02/19"/>
        <s v="2026/02/20"/>
        <s v="2026/02/23"/>
        <s v="2026/02/24"/>
        <s v="2026/02/25"/>
        <s v="2026/02/26"/>
        <s v="2026/02/27"/>
        <s v="2026/03/03"/>
        <s v="2026/03/04"/>
        <s v="2026/03/05"/>
        <s v="2026/03/06"/>
        <s v="2026/03/09"/>
        <s v="2026/03/10"/>
        <s v="2026/03/11"/>
        <s v="2026/03/12"/>
        <s v="2026/03/13"/>
        <s v="2026/03/16"/>
        <s v="2026/03/17"/>
        <s v="2026/03/18"/>
        <s v="2026/03/19"/>
        <s v="2026/03/20"/>
        <s v="2026/03/23"/>
        <s v="2026/03/24"/>
        <s v="2026/03/25"/>
        <s v="2026/03/26"/>
        <s v="2026/03/27"/>
        <s v="2026/03/30"/>
        <s v="2026/03/31"/>
        <s v="2026/04/01"/>
        <s v="2026/04/02"/>
        <s v="2026/04/03"/>
        <s v="2026/04/06"/>
        <s v="2026/04/07"/>
        <s v="2026/04/08"/>
        <s v="2026/04/09"/>
        <s v="2026/04/10"/>
        <s v="2026/04/13"/>
        <s v="2026/04/14"/>
        <s v="2026/04/15"/>
        <s v="2026/04/16"/>
        <s v="2026/04/17"/>
        <s v="2026/04/20"/>
        <s v="2026/04/21"/>
        <s v="2026/04/22"/>
        <s v="2026/04/23"/>
        <s v="2026/04/24"/>
        <s v="2026/04/27"/>
        <s v="2026/04/28"/>
        <s v="2026/04/29"/>
        <s v="2026/04/30"/>
        <s v="2026/05/04"/>
        <s v="2026/05/06"/>
        <s v="2026/05/07"/>
        <s v="2026/05/08"/>
        <s v="2026/05/11"/>
        <s v="2026/05/12"/>
        <s v="2026/05/13"/>
        <s v="2026/05/14"/>
        <s v="2026/05/15"/>
        <s v="2026/05/18"/>
        <s v="2026/05/19"/>
        <s v="2026/05/20"/>
        <s v="2026/05/21"/>
        <s v="2026/05/22"/>
        <s v="2026/05/26"/>
        <s v="2026/05/27"/>
        <s v="2026/05/28"/>
        <s v="2026/05/29"/>
        <s v="2026/06/01"/>
        <s v="2026/06/02"/>
        <s v="2026/06/04"/>
        <s v="2026/06/05"/>
        <s v="2026/06/08"/>
        <s v="2026/06/09"/>
        <s v="2026/06/10"/>
        <s v="2026/06/11"/>
        <s v="2026/06/12"/>
        <s v="2026/06/15"/>
        <s v="2026/06/16"/>
        <s v="2026/06/17"/>
        <s v="2026/06/18"/>
        <s v="2026/06/19"/>
        <s v="2026/06/22"/>
        <s v="2026/06/23"/>
        <s v="2026/06/24"/>
        <s v="2026/06/25"/>
        <s v="2026/06/26"/>
        <s v="2026/06/29"/>
        <s v="2026/06/30"/>
        <s v="2026/07/01"/>
        <s v="2026/07/02"/>
        <s v="2026/07/03"/>
        <s v="2026/07/06"/>
        <s v="2026/07/07"/>
        <s v="2026/07/08"/>
        <s v="2026/07/09"/>
        <s v="2026/07/10"/>
        <s v="2026/07/13"/>
        <s v="2026/07/14"/>
        <s v="2026/07/15"/>
        <s v="2026/07/16"/>
        <s v="2026/07/20"/>
        <s v="2026/07/21"/>
        <s v="2026/07/22"/>
        <s v="2026/07/23"/>
        <s v="2026/07/24"/>
        <s v="2026/07/27"/>
        <s v="2026/07/28"/>
        <s v="2026/07/29"/>
        <s v="2026/07/30"/>
        <s v="2026/07/31"/>
        <s v="2026/08/03"/>
        <s v="2026/08/04"/>
        <s v="2026/08/05"/>
        <s v="2026/08/06"/>
        <s v="2026/08/07"/>
        <s v="2026/08/10"/>
        <s v="2026/08/11"/>
        <s v="2026/08/12"/>
        <s v="2026/08/13"/>
        <s v="2026/08/14"/>
        <s v="2026/08/18"/>
        <s v="2026/08/19"/>
        <s v="2026/08/20"/>
        <s v="2026/08/21"/>
        <s v="2026/08/24"/>
        <s v="2026/08/25"/>
      </sharedItems>
    </cacheField>
    <cacheField name="종가" uniqueList="1" numFmtId="3" sqlType="0" hierarchy="0" level="0" databaseField="1">
      <sharedItems count="0" containsInteger="1" containsNumber="1" containsSemiMixedTypes="0" containsString="0" minValue="15140" maxValue="68700"/>
    </cacheField>
    <cacheField name="대비" uniqueList="1" numFmtId="3" sqlType="0" hierarchy="0" level="0" databaseField="1">
      <sharedItems count="0" containsInteger="1" containsNumber="1" containsSemiMixedTypes="0" containsString="0" minValue="-7200" maxValue="45000"/>
    </cacheField>
    <cacheField name="등락률" uniqueList="1" numFmtId="4" sqlType="0" hierarchy="0" level="0" databaseField="1">
      <sharedItems count="0" containsNumber="1" containsSemiMixedTypes="0" containsString="0" minValue="-16.88" maxValue="225"/>
    </cacheField>
    <cacheField name="시가" uniqueList="1" numFmtId="3" sqlType="0" hierarchy="0" level="0" databaseField="1">
      <sharedItems count="0" containsInteger="1" containsNumber="1" containsSemiMixedTypes="0" containsString="0" minValue="15260" maxValue="71100"/>
    </cacheField>
    <cacheField name="고가" uniqueList="1" numFmtId="3" sqlType="0" hierarchy="0" level="0" databaseField="1">
      <sharedItems count="0" containsInteger="1" containsNumber="1" containsSemiMixedTypes="0" containsString="0" minValue="15980" maxValue="77700"/>
    </cacheField>
    <cacheField name="저가" uniqueList="1" numFmtId="3" sqlType="0" hierarchy="0" level="0" databaseField="1">
      <sharedItems count="0" containsInteger="1" containsNumber="1" containsSemiMixedTypes="0" containsString="0" minValue="14860" maxValue="65700"/>
    </cacheField>
    <cacheField name="거래량" uniqueList="1" numFmtId="3" sqlType="0" hierarchy="0" level="0" databaseField="1">
      <sharedItems count="0" containsInteger="1" containsNumber="1" containsSemiMixedTypes="0" containsString="0" minValue="15151" maxValue="34678750"/>
    </cacheField>
    <cacheField name="거래대금" uniqueList="1" numFmtId="3" sqlType="0" hierarchy="0" level="0" databaseField="1">
      <sharedItems count="0" containsInteger="1" containsNumber="1" containsSemiMixedTypes="0" containsString="0" minValue="328744375" maxValue="1956417590850"/>
    </cacheField>
    <cacheField name="시가총액" uniqueList="1" numFmtId="3" sqlType="0" hierarchy="0" level="0" databaseField="1">
      <sharedItems count="0" containsInteger="1" containsNumber="1" containsSemiMixedTypes="0" containsString="0" minValue="232756016340" maxValue="962828851200"/>
    </cacheField>
    <cacheField name="상장주식수" uniqueList="1" numFmtId="3" sqlType="0" hierarchy="0" level="0" databaseField="1">
      <sharedItems count="0" containsInteger="1" containsNumber="1" containsSemiMixedTypes="0" containsString="0" minValue="14014976" maxValue="15392981"/>
    </cacheField>
  </cacheFields>
</pivotCacheDefinition>
</file>

<file path=xl/pivotCache/pivotCacheRecords1.xml><?xml version="1.0" encoding="utf-8"?>
<pivotCacheRecords xmlns="http://schemas.openxmlformats.org/spreadsheetml/2006/main" count="587">
  <r>
    <x v="0"/>
    <n v="65000"/>
    <n v="45000"/>
    <n v="225"/>
    <n v="50500"/>
    <n v="77700"/>
    <n v="44100"/>
    <n v="34678750"/>
    <n v="1956417590850"/>
    <n v="910973440000"/>
    <n v="14014976"/>
  </r>
  <r>
    <x v="1"/>
    <n v="66800"/>
    <n v="1800"/>
    <n v="2.77"/>
    <n v="71100"/>
    <n v="76400"/>
    <n v="65700"/>
    <n v="13615567"/>
    <n v="980270773300"/>
    <n v="936200396800"/>
    <n v="14014976"/>
  </r>
  <r>
    <x v="2"/>
    <n v="61400"/>
    <n v="-5400"/>
    <n v="-8.08"/>
    <n v="64000"/>
    <n v="66500"/>
    <n v="57600"/>
    <n v="4783790"/>
    <n v="292597717700"/>
    <n v="860519526400"/>
    <n v="14014976"/>
  </r>
  <r>
    <x v="3"/>
    <n v="68700"/>
    <n v="7300"/>
    <n v="11.89"/>
    <n v="60200"/>
    <n v="74400"/>
    <n v="59800"/>
    <n v="14207848"/>
    <n v="995573499700"/>
    <n v="962828851200"/>
    <n v="14014976"/>
  </r>
  <r>
    <x v="4"/>
    <n v="66700"/>
    <n v="-2000"/>
    <n v="-2.91"/>
    <n v="69000"/>
    <n v="69500"/>
    <n v="64100"/>
    <n v="2905786"/>
    <n v="194548920200"/>
    <n v="934798899200"/>
    <n v="14014976"/>
  </r>
  <r>
    <x v="5"/>
    <n v="60500"/>
    <n v="-6200"/>
    <n v="-9.300000000000001"/>
    <n v="65600"/>
    <n v="66000"/>
    <n v="60400"/>
    <n v="1815163"/>
    <n v="113088437800"/>
    <n v="847906048000"/>
    <n v="14014976"/>
  </r>
  <r>
    <x v="6"/>
    <n v="59100"/>
    <n v="-1400"/>
    <n v="-2.31"/>
    <n v="58600"/>
    <n v="65200"/>
    <n v="56500"/>
    <n v="3186838"/>
    <n v="194897647400"/>
    <n v="828285081600"/>
    <n v="14014976"/>
  </r>
  <r>
    <x v="7"/>
    <n v="59400"/>
    <n v="300"/>
    <n v="0.51"/>
    <n v="62500"/>
    <n v="63300"/>
    <n v="59300"/>
    <n v="1258767"/>
    <n v="77152126200"/>
    <n v="832489574400"/>
    <n v="14014976"/>
  </r>
  <r>
    <x v="8"/>
    <n v="56500"/>
    <n v="-2900"/>
    <n v="-4.88"/>
    <n v="57100"/>
    <n v="59200"/>
    <n v="56500"/>
    <n v="698739"/>
    <n v="39999055700"/>
    <n v="791846144000"/>
    <n v="14014976"/>
  </r>
  <r>
    <x v="9"/>
    <n v="53600"/>
    <n v="-2900"/>
    <n v="-5.13"/>
    <n v="57500"/>
    <n v="59300"/>
    <n v="53500"/>
    <n v="728119"/>
    <n v="40753864300"/>
    <n v="751202713600"/>
    <n v="14014976"/>
  </r>
  <r>
    <x v="10"/>
    <n v="51200"/>
    <n v="-2400"/>
    <n v="-4.48"/>
    <n v="53300"/>
    <n v="54600"/>
    <n v="50700"/>
    <n v="568187"/>
    <n v="29629349900"/>
    <n v="717566771200"/>
    <n v="14014976"/>
  </r>
  <r>
    <x v="11"/>
    <n v="50600"/>
    <n v="-600"/>
    <n v="-1.17"/>
    <n v="50800"/>
    <n v="52400"/>
    <n v="49250"/>
    <n v="454394"/>
    <n v="23086434100"/>
    <n v="709157785600"/>
    <n v="14014976"/>
  </r>
  <r>
    <x v="12"/>
    <n v="52900"/>
    <n v="2300"/>
    <n v="4.55"/>
    <n v="51100"/>
    <n v="54200"/>
    <n v="49950"/>
    <n v="823329"/>
    <n v="43262134800"/>
    <n v="741392230400"/>
    <n v="14014976"/>
  </r>
  <r>
    <x v="13"/>
    <n v="49950"/>
    <n v="-2950"/>
    <n v="-5.58"/>
    <n v="51200"/>
    <n v="51500"/>
    <n v="49850"/>
    <n v="311754"/>
    <n v="15713453450"/>
    <n v="700048051200"/>
    <n v="14014976"/>
  </r>
  <r>
    <x v="14"/>
    <n v="46200"/>
    <n v="-3750"/>
    <n v="-7.51"/>
    <n v="48650"/>
    <n v="49350"/>
    <n v="45450"/>
    <n v="433136"/>
    <n v="20356437250"/>
    <n v="647491891200"/>
    <n v="14014976"/>
  </r>
  <r>
    <x v="15"/>
    <n v="49500"/>
    <n v="3300"/>
    <n v="7.14"/>
    <n v="46350"/>
    <n v="53500"/>
    <n v="46350"/>
    <n v="2010961"/>
    <n v="102975728600"/>
    <n v="693741312000"/>
    <n v="14014976"/>
  </r>
  <r>
    <x v="16"/>
    <n v="51500"/>
    <n v="2000"/>
    <n v="4.04"/>
    <n v="50600"/>
    <n v="53100"/>
    <n v="50100"/>
    <n v="583521"/>
    <n v="29970944700"/>
    <n v="721771264000"/>
    <n v="14014976"/>
  </r>
  <r>
    <x v="17"/>
    <n v="48800"/>
    <n v="-2700"/>
    <n v="-5.24"/>
    <n v="50600"/>
    <n v="50900"/>
    <n v="47500"/>
    <n v="317077"/>
    <n v="15617805150"/>
    <n v="683930828800"/>
    <n v="14014976"/>
  </r>
  <r>
    <x v="18"/>
    <n v="48750"/>
    <n v="-50"/>
    <n v="-0.1"/>
    <n v="48700"/>
    <n v="50300"/>
    <n v="48700"/>
    <n v="191431"/>
    <n v="9427114950"/>
    <n v="683230080000"/>
    <n v="14014976"/>
  </r>
  <r>
    <x v="19"/>
    <n v="48500"/>
    <n v="-250"/>
    <n v="-0.51"/>
    <n v="49200"/>
    <n v="50200"/>
    <n v="48500"/>
    <n v="170685"/>
    <n v="8386483150"/>
    <n v="679726336000"/>
    <n v="14014976"/>
  </r>
  <r>
    <x v="20"/>
    <n v="48300"/>
    <n v="-200"/>
    <n v="-0.41"/>
    <n v="48900"/>
    <n v="49200"/>
    <n v="48300"/>
    <n v="183590"/>
    <n v="8903379500"/>
    <n v="676923340800"/>
    <n v="14014976"/>
  </r>
  <r>
    <x v="21"/>
    <n v="46500"/>
    <n v="-1800"/>
    <n v="-3.73"/>
    <n v="47700"/>
    <n v="48550"/>
    <n v="46400"/>
    <n v="229623"/>
    <n v="10803198250"/>
    <n v="694960216500"/>
    <n v="14945381"/>
  </r>
  <r>
    <x v="22"/>
    <n v="39300"/>
    <n v="-7200"/>
    <n v="-15.48"/>
    <n v="43800"/>
    <n v="44300"/>
    <n v="38900"/>
    <n v="3244767"/>
    <n v="131284464150"/>
    <n v="587353473300"/>
    <n v="14945381"/>
  </r>
  <r>
    <x v="23"/>
    <n v="39300"/>
    <n v="0"/>
    <n v="0"/>
    <n v="39450"/>
    <n v="39600"/>
    <n v="38600"/>
    <n v="654195"/>
    <n v="25535037650"/>
    <n v="587353473300"/>
    <n v="14945381"/>
  </r>
  <r>
    <x v="24"/>
    <n v="39200"/>
    <n v="-100"/>
    <n v="-0.25"/>
    <n v="39700"/>
    <n v="40900"/>
    <n v="39000"/>
    <n v="798634"/>
    <n v="31808454250"/>
    <n v="585858935200"/>
    <n v="14945381"/>
  </r>
  <r>
    <x v="25"/>
    <n v="39200"/>
    <n v="0"/>
    <n v="0"/>
    <n v="39050"/>
    <n v="39850"/>
    <n v="38900"/>
    <n v="337751"/>
    <n v="13264360800"/>
    <n v="585858935200"/>
    <n v="14945381"/>
  </r>
  <r>
    <x v="26"/>
    <n v="39300"/>
    <n v="100"/>
    <n v="0.26"/>
    <n v="39800"/>
    <n v="39950"/>
    <n v="39150"/>
    <n v="378016"/>
    <n v="14911751100"/>
    <n v="587353473300"/>
    <n v="14945381"/>
  </r>
  <r>
    <x v="27"/>
    <n v="37900"/>
    <n v="-1400"/>
    <n v="-3.56"/>
    <n v="39650"/>
    <n v="39700"/>
    <n v="37350"/>
    <n v="600598"/>
    <n v="23014798700"/>
    <n v="566429939900"/>
    <n v="14945381"/>
  </r>
  <r>
    <x v="28"/>
    <n v="37100"/>
    <n v="-800"/>
    <n v="-2.11"/>
    <n v="38200"/>
    <n v="38200"/>
    <n v="35900"/>
    <n v="589579"/>
    <n v="21764112150"/>
    <n v="554473635100"/>
    <n v="14945381"/>
  </r>
  <r>
    <x v="29"/>
    <n v="35500"/>
    <n v="-1600"/>
    <n v="-4.31"/>
    <n v="36950"/>
    <n v="37000"/>
    <n v="35500"/>
    <n v="497061"/>
    <n v="17854150900"/>
    <n v="530561025500"/>
    <n v="14945381"/>
  </r>
  <r>
    <x v="30"/>
    <n v="35700"/>
    <n v="200"/>
    <n v="0.5600000000000001"/>
    <n v="36950"/>
    <n v="39400"/>
    <n v="35650"/>
    <n v="1513607"/>
    <n v="56841848750"/>
    <n v="533550101700"/>
    <n v="14945381"/>
  </r>
  <r>
    <x v="31"/>
    <n v="35200"/>
    <n v="-500"/>
    <n v="-1.4"/>
    <n v="35850"/>
    <n v="36700"/>
    <n v="35000"/>
    <n v="424214"/>
    <n v="15135014050"/>
    <n v="526077411200"/>
    <n v="14945381"/>
  </r>
  <r>
    <x v="32"/>
    <n v="35950"/>
    <n v="750"/>
    <n v="2.13"/>
    <n v="35200"/>
    <n v="36500"/>
    <n v="34650"/>
    <n v="397911"/>
    <n v="14160480700"/>
    <n v="537286446950"/>
    <n v="14945381"/>
  </r>
  <r>
    <x v="33"/>
    <n v="35800"/>
    <n v="-150"/>
    <n v="-0.42"/>
    <n v="36500"/>
    <n v="36600"/>
    <n v="35600"/>
    <n v="234316"/>
    <n v="8438558200"/>
    <n v="535044639800"/>
    <n v="14945381"/>
  </r>
  <r>
    <x v="34"/>
    <n v="34650"/>
    <n v="-1150"/>
    <n v="-3.21"/>
    <n v="35800"/>
    <n v="35800"/>
    <n v="34500"/>
    <n v="283501"/>
    <n v="9875524950"/>
    <n v="517857451650"/>
    <n v="14945381"/>
  </r>
  <r>
    <x v="35"/>
    <n v="33900"/>
    <n v="-750"/>
    <n v="-2.16"/>
    <n v="34550"/>
    <n v="35400"/>
    <n v="33250"/>
    <n v="461025"/>
    <n v="15737928450"/>
    <n v="506648415900"/>
    <n v="14945381"/>
  </r>
  <r>
    <x v="36"/>
    <n v="33150"/>
    <n v="-750"/>
    <n v="-2.21"/>
    <n v="33950"/>
    <n v="34000"/>
    <n v="33000"/>
    <n v="237541"/>
    <n v="7884733550"/>
    <n v="495439380150"/>
    <n v="14945381"/>
  </r>
  <r>
    <x v="37"/>
    <n v="37600"/>
    <n v="4450"/>
    <n v="13.42"/>
    <n v="33500"/>
    <n v="40250"/>
    <n v="33400"/>
    <n v="4561406"/>
    <n v="172796977800"/>
    <n v="561946325600"/>
    <n v="14945381"/>
  </r>
  <r>
    <x v="38"/>
    <n v="39800"/>
    <n v="2200"/>
    <n v="5.85"/>
    <n v="36850"/>
    <n v="39900"/>
    <n v="35700"/>
    <n v="1796212"/>
    <n v="68769434200"/>
    <n v="594826163800"/>
    <n v="14945381"/>
  </r>
  <r>
    <x v="39"/>
    <n v="38250"/>
    <n v="-1550"/>
    <n v="-3.89"/>
    <n v="39000"/>
    <n v="39850"/>
    <n v="37650"/>
    <n v="650682"/>
    <n v="25014078350"/>
    <n v="571660823250"/>
    <n v="14945381"/>
  </r>
  <r>
    <x v="40"/>
    <n v="39000"/>
    <n v="750"/>
    <n v="1.96"/>
    <n v="38100"/>
    <n v="39150"/>
    <n v="37200"/>
    <n v="570558"/>
    <n v="21869661400"/>
    <n v="582869859000"/>
    <n v="14945381"/>
  </r>
  <r>
    <x v="41"/>
    <n v="38600"/>
    <n v="-400"/>
    <n v="-1.03"/>
    <n v="39400"/>
    <n v="40950"/>
    <n v="38300"/>
    <n v="1130844"/>
    <n v="44786478450"/>
    <n v="576891706600"/>
    <n v="14945381"/>
  </r>
  <r>
    <x v="42"/>
    <n v="37100"/>
    <n v="-1500"/>
    <n v="-3.89"/>
    <n v="38500"/>
    <n v="38500"/>
    <n v="37050"/>
    <n v="404805"/>
    <n v="15219448050"/>
    <n v="554473635100"/>
    <n v="14945381"/>
  </r>
  <r>
    <x v="43"/>
    <n v="35350"/>
    <n v="-1750"/>
    <n v="-4.72"/>
    <n v="36500"/>
    <n v="36850"/>
    <n v="35100"/>
    <n v="321665"/>
    <n v="11486972850"/>
    <n v="528319218350"/>
    <n v="14945381"/>
  </r>
  <r>
    <x v="44"/>
    <n v="38950"/>
    <n v="3600"/>
    <n v="10.18"/>
    <n v="35600"/>
    <n v="39500"/>
    <n v="35600"/>
    <n v="1312681"/>
    <n v="50390026100"/>
    <n v="582122589950"/>
    <n v="14945381"/>
  </r>
  <r>
    <x v="45"/>
    <n v="38200"/>
    <n v="-750"/>
    <n v="-1.93"/>
    <n v="39050"/>
    <n v="39600"/>
    <n v="37700"/>
    <n v="406446"/>
    <n v="15636586050"/>
    <n v="570913554200"/>
    <n v="14945381"/>
  </r>
  <r>
    <x v="46"/>
    <n v="36800"/>
    <n v="-1400"/>
    <n v="-3.66"/>
    <n v="38100"/>
    <n v="39200"/>
    <n v="36500"/>
    <n v="378661"/>
    <n v="14360751450"/>
    <n v="549990020800"/>
    <n v="14945381"/>
  </r>
  <r>
    <x v="47"/>
    <n v="36800"/>
    <n v="0"/>
    <n v="0"/>
    <n v="37300"/>
    <n v="37350"/>
    <n v="36050"/>
    <n v="212736"/>
    <n v="7809854200"/>
    <n v="549990020800"/>
    <n v="14945381"/>
  </r>
  <r>
    <x v="48"/>
    <n v="37550"/>
    <n v="750"/>
    <n v="2.04"/>
    <n v="37000"/>
    <n v="38200"/>
    <n v="37000"/>
    <n v="256505"/>
    <n v="9658515150"/>
    <n v="561199056550"/>
    <n v="14945381"/>
  </r>
  <r>
    <x v="49"/>
    <n v="36300"/>
    <n v="-1250"/>
    <n v="-3.33"/>
    <n v="38000"/>
    <n v="38700"/>
    <n v="36250"/>
    <n v="298454"/>
    <n v="11071126250"/>
    <n v="542517330300"/>
    <n v="14945381"/>
  </r>
  <r>
    <x v="50"/>
    <n v="36800"/>
    <n v="500"/>
    <n v="1.38"/>
    <n v="36300"/>
    <n v="37650"/>
    <n v="35700"/>
    <n v="291116"/>
    <n v="10733421700"/>
    <n v="549990020800"/>
    <n v="14945381"/>
  </r>
  <r>
    <x v="51"/>
    <n v="37950"/>
    <n v="1150"/>
    <n v="3.13"/>
    <n v="36950"/>
    <n v="39850"/>
    <n v="36100"/>
    <n v="1055013"/>
    <n v="40815955850"/>
    <n v="567177208950"/>
    <n v="14945381"/>
  </r>
  <r>
    <x v="52"/>
    <n v="38450"/>
    <n v="500"/>
    <n v="1.32"/>
    <n v="38150"/>
    <n v="39200"/>
    <n v="37500"/>
    <n v="430624"/>
    <n v="16503612100"/>
    <n v="574649899450"/>
    <n v="14945381"/>
  </r>
  <r>
    <x v="53"/>
    <n v="39050"/>
    <n v="600"/>
    <n v="1.56"/>
    <n v="38550"/>
    <n v="39500"/>
    <n v="38000"/>
    <n v="487514"/>
    <n v="18893631650"/>
    <n v="583617128050"/>
    <n v="14945381"/>
  </r>
  <r>
    <x v="54"/>
    <n v="37700"/>
    <n v="-1350"/>
    <n v="-3.46"/>
    <n v="39400"/>
    <n v="39550"/>
    <n v="37650"/>
    <n v="361836"/>
    <n v="13926155500"/>
    <n v="563440863700"/>
    <n v="14945381"/>
  </r>
  <r>
    <x v="55"/>
    <n v="38350"/>
    <n v="650"/>
    <n v="1.72"/>
    <n v="38100"/>
    <n v="38600"/>
    <n v="37250"/>
    <n v="258267"/>
    <n v="9817556200"/>
    <n v="573155361350"/>
    <n v="14945381"/>
  </r>
  <r>
    <x v="56"/>
    <n v="36750"/>
    <n v="-1600"/>
    <n v="-4.17"/>
    <n v="38400"/>
    <n v="38450"/>
    <n v="36350"/>
    <n v="330696"/>
    <n v="12251453950"/>
    <n v="549242751750"/>
    <n v="14945381"/>
  </r>
  <r>
    <x v="57"/>
    <n v="36100"/>
    <n v="-650"/>
    <n v="-1.77"/>
    <n v="36750"/>
    <n v="37050"/>
    <n v="35800"/>
    <n v="181872"/>
    <n v="6594072350"/>
    <n v="539528254100"/>
    <n v="14945381"/>
  </r>
  <r>
    <x v="58"/>
    <n v="35800"/>
    <n v="-300"/>
    <n v="-0.83"/>
    <n v="35700"/>
    <n v="36550"/>
    <n v="35300"/>
    <n v="148776"/>
    <n v="5325411750"/>
    <n v="535044639800"/>
    <n v="14945381"/>
  </r>
  <r>
    <x v="59"/>
    <n v="35250"/>
    <n v="-550"/>
    <n v="-1.54"/>
    <n v="35800"/>
    <n v="36600"/>
    <n v="35100"/>
    <n v="168617"/>
    <n v="6023509400"/>
    <n v="526824680250"/>
    <n v="14945381"/>
  </r>
  <r>
    <x v="60"/>
    <n v="34650"/>
    <n v="-600"/>
    <n v="-1.7"/>
    <n v="35300"/>
    <n v="35550"/>
    <n v="34500"/>
    <n v="113209"/>
    <n v="3939895100"/>
    <n v="517857451650"/>
    <n v="14945381"/>
  </r>
  <r>
    <x v="61"/>
    <n v="33900"/>
    <n v="-750"/>
    <n v="-2.16"/>
    <n v="33550"/>
    <n v="34350"/>
    <n v="33400"/>
    <n v="223017"/>
    <n v="7560895600"/>
    <n v="506648415900"/>
    <n v="14945381"/>
  </r>
  <r>
    <x v="62"/>
    <n v="33900"/>
    <n v="0"/>
    <n v="0"/>
    <n v="34150"/>
    <n v="35550"/>
    <n v="33650"/>
    <n v="260868"/>
    <n v="8995437950"/>
    <n v="506648415900"/>
    <n v="14945381"/>
  </r>
  <r>
    <x v="63"/>
    <n v="33900"/>
    <n v="0"/>
    <n v="0"/>
    <n v="34050"/>
    <n v="34400"/>
    <n v="33900"/>
    <n v="235569"/>
    <n v="7750294200"/>
    <n v="506648415900"/>
    <n v="14945381"/>
  </r>
  <r>
    <x v="64"/>
    <n v="33700"/>
    <n v="-200"/>
    <n v="-0.59"/>
    <n v="34150"/>
    <n v="34800"/>
    <n v="33550"/>
    <n v="197528"/>
    <n v="6711596250"/>
    <n v="503659339700"/>
    <n v="14945381"/>
  </r>
  <r>
    <x v="65"/>
    <n v="31850"/>
    <n v="-1850"/>
    <n v="-5.49"/>
    <n v="33700"/>
    <n v="34450"/>
    <n v="31600"/>
    <n v="268564"/>
    <n v="8704469350"/>
    <n v="476010384850"/>
    <n v="14945381"/>
  </r>
  <r>
    <x v="66"/>
    <n v="30950"/>
    <n v="-900"/>
    <n v="-2.83"/>
    <n v="32000"/>
    <n v="32300"/>
    <n v="30300"/>
    <n v="231817"/>
    <n v="7163309000"/>
    <n v="462559541950"/>
    <n v="14945381"/>
  </r>
  <r>
    <x v="67"/>
    <n v="30850"/>
    <n v="-100"/>
    <n v="-0.32"/>
    <n v="31100"/>
    <n v="31250"/>
    <n v="30550"/>
    <n v="109152"/>
    <n v="3372277850"/>
    <n v="461065003850"/>
    <n v="14945381"/>
  </r>
  <r>
    <x v="68"/>
    <n v="30750"/>
    <n v="-100"/>
    <n v="-0.32"/>
    <n v="31450"/>
    <n v="32950"/>
    <n v="30700"/>
    <n v="358768"/>
    <n v="11382348350"/>
    <n v="459570465750"/>
    <n v="14945381"/>
  </r>
  <r>
    <x v="69"/>
    <n v="31500"/>
    <n v="750"/>
    <n v="2.44"/>
    <n v="30750"/>
    <n v="31550"/>
    <n v="30650"/>
    <n v="106364"/>
    <n v="3319804100"/>
    <n v="470779501500"/>
    <n v="14945381"/>
  </r>
  <r>
    <x v="70"/>
    <n v="32100"/>
    <n v="600"/>
    <n v="1.9"/>
    <n v="31700"/>
    <n v="32450"/>
    <n v="31300"/>
    <n v="124347"/>
    <n v="3972712250"/>
    <n v="479746730100"/>
    <n v="14945381"/>
  </r>
  <r>
    <x v="71"/>
    <n v="32550"/>
    <n v="450"/>
    <n v="1.4"/>
    <n v="32000"/>
    <n v="33150"/>
    <n v="31050"/>
    <n v="184018"/>
    <n v="5871927150"/>
    <n v="486472151550"/>
    <n v="14945381"/>
  </r>
  <r>
    <x v="72"/>
    <n v="32350"/>
    <n v="-200"/>
    <n v="-0.61"/>
    <n v="32550"/>
    <n v="33700"/>
    <n v="32000"/>
    <n v="228689"/>
    <n v="7511143400"/>
    <n v="483483075350"/>
    <n v="14945381"/>
  </r>
  <r>
    <x v="73"/>
    <n v="32600"/>
    <n v="250"/>
    <n v="0.77"/>
    <n v="34050"/>
    <n v="37350"/>
    <n v="32600"/>
    <n v="1794076"/>
    <n v="63115059600"/>
    <n v="487219420600"/>
    <n v="14945381"/>
  </r>
  <r>
    <x v="74"/>
    <n v="31950"/>
    <n v="-650"/>
    <n v="-1.99"/>
    <n v="32700"/>
    <n v="32800"/>
    <n v="31500"/>
    <n v="187009"/>
    <n v="5959333000"/>
    <n v="477504922950"/>
    <n v="14945381"/>
  </r>
  <r>
    <x v="75"/>
    <n v="30700"/>
    <n v="-1250"/>
    <n v="-3.91"/>
    <n v="31850"/>
    <n v="32550"/>
    <n v="30700"/>
    <n v="249615"/>
    <n v="7783216100"/>
    <n v="458823196700"/>
    <n v="14945381"/>
  </r>
  <r>
    <x v="76"/>
    <n v="30700"/>
    <n v="0"/>
    <n v="0"/>
    <n v="30750"/>
    <n v="31100"/>
    <n v="30500"/>
    <n v="106601"/>
    <n v="3275987700"/>
    <n v="458823196700"/>
    <n v="14945381"/>
  </r>
  <r>
    <x v="77"/>
    <n v="29750"/>
    <n v="-950"/>
    <n v="-3.09"/>
    <n v="30300"/>
    <n v="30450"/>
    <n v="29550"/>
    <n v="156884"/>
    <n v="4674094900"/>
    <n v="444625084750"/>
    <n v="14945381"/>
  </r>
  <r>
    <x v="78"/>
    <n v="30150"/>
    <n v="400"/>
    <n v="1.34"/>
    <n v="29750"/>
    <n v="30300"/>
    <n v="29500"/>
    <n v="86899"/>
    <n v="2608673450"/>
    <n v="450603237150"/>
    <n v="14945381"/>
  </r>
  <r>
    <x v="79"/>
    <n v="29350"/>
    <n v="-800"/>
    <n v="-2.65"/>
    <n v="30150"/>
    <n v="30450"/>
    <n v="29100"/>
    <n v="99377"/>
    <n v="2925100150"/>
    <n v="438646932350"/>
    <n v="14945381"/>
  </r>
  <r>
    <x v="80"/>
    <n v="29500"/>
    <n v="150"/>
    <n v="0.51"/>
    <n v="29750"/>
    <n v="30450"/>
    <n v="29250"/>
    <n v="129031"/>
    <n v="3845350300"/>
    <n v="440888739500"/>
    <n v="14945381"/>
  </r>
  <r>
    <x v="81"/>
    <n v="28800"/>
    <n v="-700"/>
    <n v="-2.37"/>
    <n v="29250"/>
    <n v="29500"/>
    <n v="28800"/>
    <n v="100561"/>
    <n v="2922062150"/>
    <n v="430426972800"/>
    <n v="14945381"/>
  </r>
  <r>
    <x v="82"/>
    <n v="27600"/>
    <n v="-1200"/>
    <n v="-4.17"/>
    <n v="28200"/>
    <n v="28500"/>
    <n v="27000"/>
    <n v="167771"/>
    <n v="4610719950"/>
    <n v="412492515600"/>
    <n v="14945381"/>
  </r>
  <r>
    <x v="83"/>
    <n v="27350"/>
    <n v="-250"/>
    <n v="-0.91"/>
    <n v="27600"/>
    <n v="27800"/>
    <n v="27000"/>
    <n v="91447"/>
    <n v="2494513550"/>
    <n v="408756170350"/>
    <n v="14945381"/>
  </r>
  <r>
    <x v="84"/>
    <n v="28200"/>
    <n v="850"/>
    <n v="3.11"/>
    <n v="27100"/>
    <n v="28400"/>
    <n v="27100"/>
    <n v="80092"/>
    <n v="2228185700"/>
    <n v="421459744200"/>
    <n v="14945381"/>
  </r>
  <r>
    <x v="85"/>
    <n v="27950"/>
    <n v="-250"/>
    <n v="-0.89"/>
    <n v="28100"/>
    <n v="28250"/>
    <n v="27350"/>
    <n v="70416"/>
    <n v="1955634200"/>
    <n v="417723398950"/>
    <n v="14945381"/>
  </r>
  <r>
    <x v="86"/>
    <n v="27700"/>
    <n v="-250"/>
    <n v="-0.89"/>
    <n v="27550"/>
    <n v="27900"/>
    <n v="27000"/>
    <n v="88112"/>
    <n v="2407586350"/>
    <n v="413987053700"/>
    <n v="14945381"/>
  </r>
  <r>
    <x v="87"/>
    <n v="28000"/>
    <n v="300"/>
    <n v="1.08"/>
    <n v="27500"/>
    <n v="28500"/>
    <n v="27500"/>
    <n v="96989"/>
    <n v="2725841050"/>
    <n v="418470668000"/>
    <n v="14945381"/>
  </r>
  <r>
    <x v="88"/>
    <n v="25900"/>
    <n v="-2100"/>
    <n v="-7.5"/>
    <n v="27400"/>
    <n v="27450"/>
    <n v="25850"/>
    <n v="170967"/>
    <n v="4517351700"/>
    <n v="387085367900"/>
    <n v="14945381"/>
  </r>
  <r>
    <x v="89"/>
    <n v="21800"/>
    <n v="-4100"/>
    <n v="-15.83"/>
    <n v="24900"/>
    <n v="25550"/>
    <n v="20500"/>
    <n v="248694"/>
    <n v="5728914050"/>
    <n v="325809305800"/>
    <n v="14945381"/>
  </r>
  <r>
    <x v="90"/>
    <n v="23000"/>
    <n v="1200"/>
    <n v="5.5"/>
    <n v="21150"/>
    <n v="23450"/>
    <n v="21150"/>
    <n v="150514"/>
    <n v="3406402700"/>
    <n v="343743763000"/>
    <n v="14945381"/>
  </r>
  <r>
    <x v="91"/>
    <n v="24100"/>
    <n v="1100"/>
    <n v="4.78"/>
    <n v="23000"/>
    <n v="24600"/>
    <n v="23000"/>
    <n v="134730"/>
    <n v="3229992850"/>
    <n v="360183682100"/>
    <n v="14945381"/>
  </r>
  <r>
    <x v="92"/>
    <n v="23750"/>
    <n v="-350"/>
    <n v="-1.45"/>
    <n v="23500"/>
    <n v="24450"/>
    <n v="23350"/>
    <n v="69808"/>
    <n v="1664664800"/>
    <n v="354952798750"/>
    <n v="14945381"/>
  </r>
  <r>
    <x v="93"/>
    <n v="24200"/>
    <n v="450"/>
    <n v="1.89"/>
    <n v="23950"/>
    <n v="24600"/>
    <n v="23850"/>
    <n v="75711"/>
    <n v="1827713500"/>
    <n v="361678220200"/>
    <n v="14945381"/>
  </r>
  <r>
    <x v="94"/>
    <n v="24750"/>
    <n v="550"/>
    <n v="2.27"/>
    <n v="24450"/>
    <n v="24900"/>
    <n v="24200"/>
    <n v="91185"/>
    <n v="2240257200"/>
    <n v="369898179750"/>
    <n v="14945381"/>
  </r>
  <r>
    <x v="95"/>
    <n v="24050"/>
    <n v="-700"/>
    <n v="-2.83"/>
    <n v="24950"/>
    <n v="26350"/>
    <n v="24000"/>
    <n v="185567"/>
    <n v="4629009800"/>
    <n v="359436413050"/>
    <n v="14945381"/>
  </r>
  <r>
    <x v="96"/>
    <n v="24600"/>
    <n v="550"/>
    <n v="2.29"/>
    <n v="24500"/>
    <n v="25850"/>
    <n v="24000"/>
    <n v="145355"/>
    <n v="3607022250"/>
    <n v="367656372600"/>
    <n v="14945381"/>
  </r>
  <r>
    <x v="97"/>
    <n v="24900"/>
    <n v="300"/>
    <n v="1.22"/>
    <n v="25050"/>
    <n v="25150"/>
    <n v="24600"/>
    <n v="98064"/>
    <n v="2442368500"/>
    <n v="372139986900"/>
    <n v="14945381"/>
  </r>
  <r>
    <x v="98"/>
    <n v="24350"/>
    <n v="-550"/>
    <n v="-2.21"/>
    <n v="24700"/>
    <n v="25100"/>
    <n v="24300"/>
    <n v="60224"/>
    <n v="1478689650"/>
    <n v="363920027350"/>
    <n v="14945381"/>
  </r>
  <r>
    <x v="99"/>
    <n v="25600"/>
    <n v="1250"/>
    <n v="5.13"/>
    <n v="24400"/>
    <n v="26500"/>
    <n v="24400"/>
    <n v="195509"/>
    <n v="5030723000"/>
    <n v="382601753600"/>
    <n v="14945381"/>
  </r>
  <r>
    <x v="100"/>
    <n v="26850"/>
    <n v="1250"/>
    <n v="4.88"/>
    <n v="25600"/>
    <n v="27150"/>
    <n v="25150"/>
    <n v="249683"/>
    <n v="6565232300"/>
    <n v="401283479850"/>
    <n v="14945381"/>
  </r>
  <r>
    <x v="101"/>
    <n v="25850"/>
    <n v="-1000"/>
    <n v="-3.72"/>
    <n v="26700"/>
    <n v="27350"/>
    <n v="25850"/>
    <n v="185135"/>
    <n v="4903656800"/>
    <n v="386338098850"/>
    <n v="14945381"/>
  </r>
  <r>
    <x v="102"/>
    <n v="25900"/>
    <n v="50"/>
    <n v="0.19"/>
    <n v="25400"/>
    <n v="25950"/>
    <n v="24900"/>
    <n v="62951"/>
    <n v="1607611450"/>
    <n v="387085367900"/>
    <n v="14945381"/>
  </r>
  <r>
    <x v="103"/>
    <n v="26450"/>
    <n v="550"/>
    <n v="2.12"/>
    <n v="26050"/>
    <n v="27200"/>
    <n v="25650"/>
    <n v="225127"/>
    <n v="5970558650"/>
    <n v="395305327450"/>
    <n v="14945381"/>
  </r>
  <r>
    <x v="104"/>
    <n v="25900"/>
    <n v="-550"/>
    <n v="-2.08"/>
    <n v="26300"/>
    <n v="26450"/>
    <n v="25400"/>
    <n v="75038"/>
    <n v="1943353250"/>
    <n v="387085367900"/>
    <n v="14945381"/>
  </r>
  <r>
    <x v="105"/>
    <n v="24950"/>
    <n v="-950"/>
    <n v="-3.67"/>
    <n v="25850"/>
    <n v="25850"/>
    <n v="24850"/>
    <n v="82533"/>
    <n v="2075954350"/>
    <n v="372887255950"/>
    <n v="14945381"/>
  </r>
  <r>
    <x v="106"/>
    <n v="25200"/>
    <n v="250"/>
    <n v="1"/>
    <n v="24350"/>
    <n v="25350"/>
    <n v="24100"/>
    <n v="72542"/>
    <n v="1797592800"/>
    <n v="376623601200"/>
    <n v="14945381"/>
  </r>
  <r>
    <x v="107"/>
    <n v="25200"/>
    <n v="0"/>
    <n v="0"/>
    <n v="25000"/>
    <n v="25400"/>
    <n v="24550"/>
    <n v="51663"/>
    <n v="1287176100"/>
    <n v="376623601200"/>
    <n v="14945381"/>
  </r>
  <r>
    <x v="108"/>
    <n v="27250"/>
    <n v="2050"/>
    <n v="8.130000000000001"/>
    <n v="25450"/>
    <n v="27800"/>
    <n v="24850"/>
    <n v="325701"/>
    <n v="8703500800"/>
    <n v="407261632250"/>
    <n v="14945381"/>
  </r>
  <r>
    <x v="109"/>
    <n v="26250"/>
    <n v="-1000"/>
    <n v="-3.67"/>
    <n v="27150"/>
    <n v="27200"/>
    <n v="26150"/>
    <n v="124322"/>
    <n v="3314062950"/>
    <n v="392316251250"/>
    <n v="14945381"/>
  </r>
  <r>
    <x v="110"/>
    <n v="24650"/>
    <n v="-1600"/>
    <n v="-6.1"/>
    <n v="24900"/>
    <n v="25600"/>
    <n v="24400"/>
    <n v="121110"/>
    <n v="3019129450"/>
    <n v="368403641650"/>
    <n v="14945381"/>
  </r>
  <r>
    <x v="111"/>
    <n v="23950"/>
    <n v="-700"/>
    <n v="-2.84"/>
    <n v="24900"/>
    <n v="25900"/>
    <n v="23700"/>
    <n v="94662"/>
    <n v="2331523000"/>
    <n v="357941874950"/>
    <n v="14945381"/>
  </r>
  <r>
    <x v="112"/>
    <n v="22400"/>
    <n v="-1550"/>
    <n v="-6.47"/>
    <n v="23850"/>
    <n v="24050"/>
    <n v="22400"/>
    <n v="126691"/>
    <n v="2891286450"/>
    <n v="334776534400"/>
    <n v="14945381"/>
  </r>
  <r>
    <x v="113"/>
    <n v="22100"/>
    <n v="-300"/>
    <n v="-1.34"/>
    <n v="21700"/>
    <n v="22500"/>
    <n v="21350"/>
    <n v="75381"/>
    <n v="1644675900"/>
    <n v="330292920100"/>
    <n v="14945381"/>
  </r>
  <r>
    <x v="114"/>
    <n v="21750"/>
    <n v="-350"/>
    <n v="-1.58"/>
    <n v="22300"/>
    <n v="22500"/>
    <n v="21650"/>
    <n v="49024"/>
    <n v="1078224200"/>
    <n v="325062036750"/>
    <n v="14945381"/>
  </r>
  <r>
    <x v="115"/>
    <n v="22400"/>
    <n v="650"/>
    <n v="2.99"/>
    <n v="21950"/>
    <n v="23000"/>
    <n v="21950"/>
    <n v="57414"/>
    <n v="1293499800"/>
    <n v="334776534400"/>
    <n v="14945381"/>
  </r>
  <r>
    <x v="116"/>
    <n v="29050"/>
    <n v="6650"/>
    <n v="29.69"/>
    <n v="22650"/>
    <n v="29100"/>
    <n v="22650"/>
    <n v="3625373"/>
    <n v="101732884250"/>
    <n v="434163318050"/>
    <n v="14945381"/>
  </r>
  <r>
    <x v="117"/>
    <n v="27600"/>
    <n v="-1450"/>
    <n v="-4.99"/>
    <n v="28500"/>
    <n v="28800"/>
    <n v="26950"/>
    <n v="1111199"/>
    <n v="30829333900"/>
    <n v="412492515600"/>
    <n v="14945381"/>
  </r>
  <r>
    <x v="118"/>
    <n v="28200"/>
    <n v="600"/>
    <n v="2.17"/>
    <n v="27650"/>
    <n v="28300"/>
    <n v="27200"/>
    <n v="589879"/>
    <n v="16402786650"/>
    <n v="421459744200"/>
    <n v="14945381"/>
  </r>
  <r>
    <x v="119"/>
    <n v="28750"/>
    <n v="550"/>
    <n v="1.95"/>
    <n v="28100"/>
    <n v="28800"/>
    <n v="27500"/>
    <n v="657090"/>
    <n v="18524706150"/>
    <n v="429679703750"/>
    <n v="14945381"/>
  </r>
  <r>
    <x v="120"/>
    <n v="29850"/>
    <n v="1100"/>
    <n v="3.83"/>
    <n v="28400"/>
    <n v="30450"/>
    <n v="27600"/>
    <n v="1663569"/>
    <n v="49211512200"/>
    <n v="446119622850"/>
    <n v="14945381"/>
  </r>
  <r>
    <x v="121"/>
    <n v="29250"/>
    <n v="-600"/>
    <n v="-2.01"/>
    <n v="29650"/>
    <n v="30400"/>
    <n v="29150"/>
    <n v="401830"/>
    <n v="11911773000"/>
    <n v="437152394250"/>
    <n v="14945381"/>
  </r>
  <r>
    <x v="122"/>
    <n v="28500"/>
    <n v="-750"/>
    <n v="-2.56"/>
    <n v="29000"/>
    <n v="29800"/>
    <n v="28050"/>
    <n v="387584"/>
    <n v="11232786950"/>
    <n v="425943358500"/>
    <n v="14945381"/>
  </r>
  <r>
    <x v="123"/>
    <n v="28700"/>
    <n v="200"/>
    <n v="0.7"/>
    <n v="28150"/>
    <n v="29250"/>
    <n v="28050"/>
    <n v="394423"/>
    <n v="11244664050"/>
    <n v="428932434700"/>
    <n v="14945381"/>
  </r>
  <r>
    <x v="124"/>
    <n v="28200"/>
    <n v="-500"/>
    <n v="-1.74"/>
    <n v="28650"/>
    <n v="28700"/>
    <n v="27350"/>
    <n v="284225"/>
    <n v="7936766250"/>
    <n v="421459744200"/>
    <n v="14945381"/>
  </r>
  <r>
    <x v="125"/>
    <n v="28150"/>
    <n v="-50"/>
    <n v="-0.18"/>
    <n v="28000"/>
    <n v="29300"/>
    <n v="27750"/>
    <n v="420218"/>
    <n v="12083685500"/>
    <n v="420712475150"/>
    <n v="14945381"/>
  </r>
  <r>
    <x v="126"/>
    <n v="27750"/>
    <n v="-400"/>
    <n v="-1.42"/>
    <n v="27700"/>
    <n v="28500"/>
    <n v="27300"/>
    <n v="157834"/>
    <n v="4408806800"/>
    <n v="414734322750"/>
    <n v="14945381"/>
  </r>
  <r>
    <x v="127"/>
    <n v="27500"/>
    <n v="-250"/>
    <n v="-0.9"/>
    <n v="27900"/>
    <n v="28450"/>
    <n v="27250"/>
    <n v="158766"/>
    <n v="4422119250"/>
    <n v="410997977500"/>
    <n v="14945381"/>
  </r>
  <r>
    <x v="128"/>
    <n v="28450"/>
    <n v="950"/>
    <n v="3.45"/>
    <n v="28000"/>
    <n v="28600"/>
    <n v="27600"/>
    <n v="159349"/>
    <n v="4500806700"/>
    <n v="425196089450"/>
    <n v="14945381"/>
  </r>
  <r>
    <x v="129"/>
    <n v="27700"/>
    <n v="-750"/>
    <n v="-2.64"/>
    <n v="28200"/>
    <n v="28350"/>
    <n v="27650"/>
    <n v="137261"/>
    <n v="3843021750"/>
    <n v="413987053700"/>
    <n v="14945381"/>
  </r>
  <r>
    <x v="130"/>
    <n v="26250"/>
    <n v="-1450"/>
    <n v="-5.23"/>
    <n v="28100"/>
    <n v="28150"/>
    <n v="25900"/>
    <n v="302308"/>
    <n v="8057069800"/>
    <n v="392316251250"/>
    <n v="14945381"/>
  </r>
  <r>
    <x v="131"/>
    <n v="26050"/>
    <n v="-200"/>
    <n v="-0.76"/>
    <n v="26300"/>
    <n v="27150"/>
    <n v="26050"/>
    <n v="230426"/>
    <n v="6116149600"/>
    <n v="389327175050"/>
    <n v="14945381"/>
  </r>
  <r>
    <x v="132"/>
    <n v="26900"/>
    <n v="850"/>
    <n v="3.26"/>
    <n v="26600"/>
    <n v="27300"/>
    <n v="26300"/>
    <n v="186461"/>
    <n v="4995271600"/>
    <n v="402030748900"/>
    <n v="14945381"/>
  </r>
  <r>
    <x v="133"/>
    <n v="26400"/>
    <n v="-500"/>
    <n v="-1.86"/>
    <n v="27450"/>
    <n v="28050"/>
    <n v="26100"/>
    <n v="246039"/>
    <n v="6663495850"/>
    <n v="394558058400"/>
    <n v="14945381"/>
  </r>
  <r>
    <x v="134"/>
    <n v="25300"/>
    <n v="-1100"/>
    <n v="-4.17"/>
    <n v="26100"/>
    <n v="26150"/>
    <n v="25250"/>
    <n v="147663"/>
    <n v="3770460100"/>
    <n v="378118139300"/>
    <n v="14945381"/>
  </r>
  <r>
    <x v="135"/>
    <n v="24950"/>
    <n v="-350"/>
    <n v="-1.38"/>
    <n v="25200"/>
    <n v="25500"/>
    <n v="24850"/>
    <n v="106630"/>
    <n v="2676039400"/>
    <n v="372887255950"/>
    <n v="14945381"/>
  </r>
  <r>
    <x v="136"/>
    <n v="24350"/>
    <n v="-600"/>
    <n v="-2.4"/>
    <n v="25050"/>
    <n v="25150"/>
    <n v="24300"/>
    <n v="95467"/>
    <n v="2345493100"/>
    <n v="363920027350"/>
    <n v="14945381"/>
  </r>
  <r>
    <x v="137"/>
    <n v="24400"/>
    <n v="50"/>
    <n v="0.21"/>
    <n v="24100"/>
    <n v="25400"/>
    <n v="24000"/>
    <n v="114184"/>
    <n v="2821148300"/>
    <n v="364667296400"/>
    <n v="14945381"/>
  </r>
  <r>
    <x v="138"/>
    <n v="23400"/>
    <n v="-1000"/>
    <n v="-4.1"/>
    <n v="24350"/>
    <n v="24350"/>
    <n v="23200"/>
    <n v="120446"/>
    <n v="2826112500"/>
    <n v="349721915400"/>
    <n v="14945381"/>
  </r>
  <r>
    <x v="139"/>
    <n v="23450"/>
    <n v="50"/>
    <n v="0.21"/>
    <n v="23400"/>
    <n v="24100"/>
    <n v="22900"/>
    <n v="77942"/>
    <n v="1817080200"/>
    <n v="350469184450"/>
    <n v="14945381"/>
  </r>
  <r>
    <x v="140"/>
    <n v="24400"/>
    <n v="950"/>
    <n v="4.05"/>
    <n v="23050"/>
    <n v="27800"/>
    <n v="23000"/>
    <n v="1398406"/>
    <n v="36051036600"/>
    <n v="364667296400"/>
    <n v="14945381"/>
  </r>
  <r>
    <x v="141"/>
    <n v="25000"/>
    <n v="600"/>
    <n v="2.46"/>
    <n v="24600"/>
    <n v="25300"/>
    <n v="24350"/>
    <n v="251122"/>
    <n v="6231954350"/>
    <n v="373634525000"/>
    <n v="14945381"/>
  </r>
  <r>
    <x v="142"/>
    <n v="24600"/>
    <n v="-400"/>
    <n v="-1.6"/>
    <n v="24900"/>
    <n v="25550"/>
    <n v="24550"/>
    <n v="218335"/>
    <n v="5462350950"/>
    <n v="367656372600"/>
    <n v="14945381"/>
  </r>
  <r>
    <x v="143"/>
    <n v="24100"/>
    <n v="-500"/>
    <n v="-2.03"/>
    <n v="24400"/>
    <n v="24800"/>
    <n v="23700"/>
    <n v="141576"/>
    <n v="3419287500"/>
    <n v="360183682100"/>
    <n v="14945381"/>
  </r>
  <r>
    <x v="144"/>
    <n v="23550"/>
    <n v="-550"/>
    <n v="-2.28"/>
    <n v="24050"/>
    <n v="24200"/>
    <n v="23500"/>
    <n v="90213"/>
    <n v="2143582700"/>
    <n v="351963722550"/>
    <n v="14945381"/>
  </r>
  <r>
    <x v="145"/>
    <n v="23550"/>
    <n v="0"/>
    <n v="0"/>
    <n v="23350"/>
    <n v="23950"/>
    <n v="22900"/>
    <n v="86491"/>
    <n v="2018678300"/>
    <n v="351963722550"/>
    <n v="14945381"/>
  </r>
  <r>
    <x v="146"/>
    <n v="22500"/>
    <n v="-1050"/>
    <n v="-4.46"/>
    <n v="23250"/>
    <n v="23550"/>
    <n v="22450"/>
    <n v="101842"/>
    <n v="2329881850"/>
    <n v="336271072500"/>
    <n v="14945381"/>
  </r>
  <r>
    <x v="147"/>
    <n v="23050"/>
    <n v="550"/>
    <n v="2.44"/>
    <n v="22300"/>
    <n v="23300"/>
    <n v="22300"/>
    <n v="60802"/>
    <n v="1398418400"/>
    <n v="344491032050"/>
    <n v="14945381"/>
  </r>
  <r>
    <x v="148"/>
    <n v="23500"/>
    <n v="450"/>
    <n v="1.95"/>
    <n v="23000"/>
    <n v="23650"/>
    <n v="22300"/>
    <n v="64404"/>
    <n v="1497279400"/>
    <n v="351216453500"/>
    <n v="14945381"/>
  </r>
  <r>
    <x v="149"/>
    <n v="22700"/>
    <n v="-800"/>
    <n v="-3.4"/>
    <n v="23800"/>
    <n v="23850"/>
    <n v="22400"/>
    <n v="92976"/>
    <n v="2133064950"/>
    <n v="339260148700"/>
    <n v="14945381"/>
  </r>
  <r>
    <x v="150"/>
    <n v="23950"/>
    <n v="1250"/>
    <n v="5.51"/>
    <n v="23100"/>
    <n v="26900"/>
    <n v="22900"/>
    <n v="927211"/>
    <n v="23236166800"/>
    <n v="357941874950"/>
    <n v="14945381"/>
  </r>
  <r>
    <x v="151"/>
    <n v="24100"/>
    <n v="150"/>
    <n v="0.63"/>
    <n v="24050"/>
    <n v="24500"/>
    <n v="23800"/>
    <n v="136441"/>
    <n v="3300314100"/>
    <n v="360183682100"/>
    <n v="14945381"/>
  </r>
  <r>
    <x v="152"/>
    <n v="23400"/>
    <n v="-700"/>
    <n v="-2.9"/>
    <n v="24300"/>
    <n v="24900"/>
    <n v="23400"/>
    <n v="187637"/>
    <n v="4531208250"/>
    <n v="349721915400"/>
    <n v="14945381"/>
  </r>
  <r>
    <x v="153"/>
    <n v="24600"/>
    <n v="1200"/>
    <n v="5.13"/>
    <n v="23200"/>
    <n v="26900"/>
    <n v="23200"/>
    <n v="1100628"/>
    <n v="28057621600"/>
    <n v="367656372600"/>
    <n v="14945381"/>
  </r>
  <r>
    <x v="154"/>
    <n v="22550"/>
    <n v="-2050"/>
    <n v="-8.33"/>
    <n v="24100"/>
    <n v="25900"/>
    <n v="22500"/>
    <n v="860963"/>
    <n v="21142304800"/>
    <n v="337018341550"/>
    <n v="14945381"/>
  </r>
  <r>
    <x v="155"/>
    <n v="22000"/>
    <n v="-550"/>
    <n v="-2.44"/>
    <n v="22850"/>
    <n v="23250"/>
    <n v="22000"/>
    <n v="217561"/>
    <n v="4904770950"/>
    <n v="328798382000"/>
    <n v="14945381"/>
  </r>
  <r>
    <x v="156"/>
    <n v="22850"/>
    <n v="850"/>
    <n v="3.86"/>
    <n v="21700"/>
    <n v="23150"/>
    <n v="21600"/>
    <n v="205286"/>
    <n v="4650753600"/>
    <n v="341501955850"/>
    <n v="14945381"/>
  </r>
  <r>
    <x v="157"/>
    <n v="23450"/>
    <n v="600"/>
    <n v="2.63"/>
    <n v="22850"/>
    <n v="24350"/>
    <n v="22600"/>
    <n v="200047"/>
    <n v="4723104950"/>
    <n v="350469184450"/>
    <n v="14945381"/>
  </r>
  <r>
    <x v="158"/>
    <n v="24100"/>
    <n v="650"/>
    <n v="2.77"/>
    <n v="23800"/>
    <n v="25150"/>
    <n v="23650"/>
    <n v="355131"/>
    <n v="8661234800"/>
    <n v="360183682100"/>
    <n v="14945381"/>
  </r>
  <r>
    <x v="159"/>
    <n v="23600"/>
    <n v="-500"/>
    <n v="-2.07"/>
    <n v="24650"/>
    <n v="24650"/>
    <n v="23400"/>
    <n v="120897"/>
    <n v="2881656250"/>
    <n v="352710991600"/>
    <n v="14945381"/>
  </r>
  <r>
    <x v="160"/>
    <n v="23200"/>
    <n v="-400"/>
    <n v="-1.69"/>
    <n v="23900"/>
    <n v="24350"/>
    <n v="23100"/>
    <n v="118013"/>
    <n v="2773103100"/>
    <n v="346732839200"/>
    <n v="14945381"/>
  </r>
  <r>
    <x v="161"/>
    <n v="23800"/>
    <n v="600"/>
    <n v="2.59"/>
    <n v="23850"/>
    <n v="24850"/>
    <n v="23700"/>
    <n v="253670"/>
    <n v="6132333200"/>
    <n v="355700067800"/>
    <n v="14945381"/>
  </r>
  <r>
    <x v="162"/>
    <n v="24000"/>
    <n v="200"/>
    <n v="0.84"/>
    <n v="23900"/>
    <n v="24300"/>
    <n v="23900"/>
    <n v="144906"/>
    <n v="3487152900"/>
    <n v="358689144000"/>
    <n v="14945381"/>
  </r>
  <r>
    <x v="163"/>
    <n v="24300"/>
    <n v="300"/>
    <n v="1.25"/>
    <n v="23900"/>
    <n v="24700"/>
    <n v="23450"/>
    <n v="151912"/>
    <n v="3673536800"/>
    <n v="363172758300"/>
    <n v="14945381"/>
  </r>
  <r>
    <x v="164"/>
    <n v="25500"/>
    <n v="1200"/>
    <n v="4.94"/>
    <n v="24300"/>
    <n v="25700"/>
    <n v="23600"/>
    <n v="693913"/>
    <n v="17308246250"/>
    <n v="381107215500"/>
    <n v="14945381"/>
  </r>
  <r>
    <x v="165"/>
    <n v="25800"/>
    <n v="300"/>
    <n v="1.18"/>
    <n v="26450"/>
    <n v="26500"/>
    <n v="25200"/>
    <n v="622781"/>
    <n v="16040761250"/>
    <n v="385590829800"/>
    <n v="14945381"/>
  </r>
  <r>
    <x v="166"/>
    <n v="24850"/>
    <n v="-950"/>
    <n v="-3.68"/>
    <n v="25800"/>
    <n v="25800"/>
    <n v="24450"/>
    <n v="401724"/>
    <n v="10052033850"/>
    <n v="371392717850"/>
    <n v="14945381"/>
  </r>
  <r>
    <x v="167"/>
    <n v="23700"/>
    <n v="-1150"/>
    <n v="-4.63"/>
    <n v="25200"/>
    <n v="25500"/>
    <n v="23700"/>
    <n v="298625"/>
    <n v="7376615100"/>
    <n v="354205529700"/>
    <n v="14945381"/>
  </r>
  <r>
    <x v="168"/>
    <n v="24050"/>
    <n v="350"/>
    <n v="1.48"/>
    <n v="23700"/>
    <n v="24500"/>
    <n v="23500"/>
    <n v="156219"/>
    <n v="3746445700"/>
    <n v="359436413050"/>
    <n v="14945381"/>
  </r>
  <r>
    <x v="169"/>
    <n v="22900"/>
    <n v="-1150"/>
    <n v="-4.78"/>
    <n v="23050"/>
    <n v="23700"/>
    <n v="22500"/>
    <n v="273993"/>
    <n v="6283225200"/>
    <n v="342249224900"/>
    <n v="14945381"/>
  </r>
  <r>
    <x v="170"/>
    <n v="22500"/>
    <n v="-400"/>
    <n v="-1.75"/>
    <n v="23050"/>
    <n v="23250"/>
    <n v="22250"/>
    <n v="117476"/>
    <n v="2657833700"/>
    <n v="336271072500"/>
    <n v="14945381"/>
  </r>
  <r>
    <x v="171"/>
    <n v="23350"/>
    <n v="850"/>
    <n v="3.78"/>
    <n v="22300"/>
    <n v="24050"/>
    <n v="21400"/>
    <n v="374751"/>
    <n v="8567717400"/>
    <n v="348974646350"/>
    <n v="14945381"/>
  </r>
  <r>
    <x v="172"/>
    <n v="20800"/>
    <n v="-2550"/>
    <n v="-10.92"/>
    <n v="22500"/>
    <n v="22750"/>
    <n v="20800"/>
    <n v="313592"/>
    <n v="6762203850"/>
    <n v="310863924800"/>
    <n v="14945381"/>
  </r>
  <r>
    <x v="173"/>
    <n v="21650"/>
    <n v="850"/>
    <n v="4.09"/>
    <n v="20800"/>
    <n v="21800"/>
    <n v="20800"/>
    <n v="132210"/>
    <n v="2836751750"/>
    <n v="323567498650"/>
    <n v="14945381"/>
  </r>
  <r>
    <x v="174"/>
    <n v="22950"/>
    <n v="1300"/>
    <n v="6"/>
    <n v="21600"/>
    <n v="23250"/>
    <n v="21400"/>
    <n v="204385"/>
    <n v="4612639550"/>
    <n v="342996493950"/>
    <n v="14945381"/>
  </r>
  <r>
    <x v="175"/>
    <n v="22700"/>
    <n v="-250"/>
    <n v="-1.09"/>
    <n v="22950"/>
    <n v="23300"/>
    <n v="22300"/>
    <n v="110726"/>
    <n v="2514821000"/>
    <n v="339260148700"/>
    <n v="14945381"/>
  </r>
  <r>
    <x v="176"/>
    <n v="22750"/>
    <n v="50"/>
    <n v="0.22"/>
    <n v="22650"/>
    <n v="23100"/>
    <n v="22450"/>
    <n v="77597"/>
    <n v="1768690650"/>
    <n v="340007417750"/>
    <n v="14945381"/>
  </r>
  <r>
    <x v="177"/>
    <n v="23050"/>
    <n v="300"/>
    <n v="1.32"/>
    <n v="23100"/>
    <n v="23500"/>
    <n v="22900"/>
    <n v="151507"/>
    <n v="3518019000"/>
    <n v="344491032050"/>
    <n v="14945381"/>
  </r>
  <r>
    <x v="178"/>
    <n v="22800"/>
    <n v="-250"/>
    <n v="-1.08"/>
    <n v="22950"/>
    <n v="23150"/>
    <n v="22450"/>
    <n v="100625"/>
    <n v="2283410300"/>
    <n v="340754686800"/>
    <n v="14945381"/>
  </r>
  <r>
    <x v="179"/>
    <n v="22950"/>
    <n v="150"/>
    <n v="0.66"/>
    <n v="22900"/>
    <n v="23600"/>
    <n v="22600"/>
    <n v="156990"/>
    <n v="3610258150"/>
    <n v="342996493950"/>
    <n v="14945381"/>
  </r>
  <r>
    <x v="180"/>
    <n v="22300"/>
    <n v="-650"/>
    <n v="-2.83"/>
    <n v="21550"/>
    <n v="22600"/>
    <n v="21500"/>
    <n v="69057"/>
    <n v="1534623100"/>
    <n v="333281996300"/>
    <n v="14945381"/>
  </r>
  <r>
    <x v="181"/>
    <n v="21300"/>
    <n v="-1000"/>
    <n v="-4.48"/>
    <n v="22300"/>
    <n v="22500"/>
    <n v="21300"/>
    <n v="124059"/>
    <n v="2683723500"/>
    <n v="318336615300"/>
    <n v="14945381"/>
  </r>
  <r>
    <x v="182"/>
    <n v="21700"/>
    <n v="400"/>
    <n v="1.88"/>
    <n v="21400"/>
    <n v="22050"/>
    <n v="21250"/>
    <n v="81901"/>
    <n v="1778926350"/>
    <n v="324314767700"/>
    <n v="14945381"/>
  </r>
  <r>
    <x v="183"/>
    <n v="22350"/>
    <n v="650"/>
    <n v="3"/>
    <n v="21350"/>
    <n v="22700"/>
    <n v="21350"/>
    <n v="158168"/>
    <n v="3526014950"/>
    <n v="334029265350"/>
    <n v="14945381"/>
  </r>
  <r>
    <x v="184"/>
    <n v="22300"/>
    <n v="-50"/>
    <n v="-0.22"/>
    <n v="22600"/>
    <n v="23100"/>
    <n v="22300"/>
    <n v="148203"/>
    <n v="3351578450"/>
    <n v="333281996300"/>
    <n v="14945381"/>
  </r>
  <r>
    <x v="185"/>
    <n v="21650"/>
    <n v="-650"/>
    <n v="-2.91"/>
    <n v="22200"/>
    <n v="22500"/>
    <n v="21300"/>
    <n v="115251"/>
    <n v="2504785250"/>
    <n v="323567498650"/>
    <n v="14945381"/>
  </r>
  <r>
    <x v="186"/>
    <n v="23050"/>
    <n v="1400"/>
    <n v="6.47"/>
    <n v="21400"/>
    <n v="23150"/>
    <n v="21400"/>
    <n v="216212"/>
    <n v="4907803250"/>
    <n v="344491032050"/>
    <n v="14945381"/>
  </r>
  <r>
    <x v="187"/>
    <n v="26850"/>
    <n v="3800"/>
    <n v="16.49"/>
    <n v="25000"/>
    <n v="26950"/>
    <n v="24600"/>
    <n v="1963229"/>
    <n v="50906100100"/>
    <n v="401283479850"/>
    <n v="14945381"/>
  </r>
  <r>
    <x v="188"/>
    <n v="25800"/>
    <n v="-1050"/>
    <n v="-3.91"/>
    <n v="26650"/>
    <n v="26650"/>
    <n v="25000"/>
    <n v="849160"/>
    <n v="21761150350"/>
    <n v="385590829800"/>
    <n v="14945381"/>
  </r>
  <r>
    <x v="189"/>
    <n v="26450"/>
    <n v="650"/>
    <n v="2.52"/>
    <n v="26450"/>
    <n v="26850"/>
    <n v="25850"/>
    <n v="721916"/>
    <n v="19029725100"/>
    <n v="395305327450"/>
    <n v="14945381"/>
  </r>
  <r>
    <x v="190"/>
    <n v="26000"/>
    <n v="-450"/>
    <n v="-1.7"/>
    <n v="27250"/>
    <n v="27450"/>
    <n v="25850"/>
    <n v="600115"/>
    <n v="15983118650"/>
    <n v="388579906000"/>
    <n v="14945381"/>
  </r>
  <r>
    <x v="191"/>
    <n v="25300"/>
    <n v="-700"/>
    <n v="-2.69"/>
    <n v="25800"/>
    <n v="26150"/>
    <n v="25150"/>
    <n v="277161"/>
    <n v="7088451200"/>
    <n v="378118139300"/>
    <n v="14945381"/>
  </r>
  <r>
    <x v="192"/>
    <n v="28100"/>
    <n v="2800"/>
    <n v="11.07"/>
    <n v="25300"/>
    <n v="29100"/>
    <n v="24500"/>
    <n v="1893149"/>
    <n v="51875463200"/>
    <n v="419965206100"/>
    <n v="14945381"/>
  </r>
  <r>
    <x v="193"/>
    <n v="28100"/>
    <n v="0"/>
    <n v="0"/>
    <n v="27800"/>
    <n v="28650"/>
    <n v="27350"/>
    <n v="791780"/>
    <n v="22259321300"/>
    <n v="419965206100"/>
    <n v="14945381"/>
  </r>
  <r>
    <x v="194"/>
    <n v="28750"/>
    <n v="650"/>
    <n v="2.31"/>
    <n v="28600"/>
    <n v="29950"/>
    <n v="28200"/>
    <n v="1166267"/>
    <n v="34074486550"/>
    <n v="429679703750"/>
    <n v="14945381"/>
  </r>
  <r>
    <x v="195"/>
    <n v="28600"/>
    <n v="-150"/>
    <n v="-0.52"/>
    <n v="28750"/>
    <n v="29400"/>
    <n v="27950"/>
    <n v="507191"/>
    <n v="14561138100"/>
    <n v="427437896600"/>
    <n v="14945381"/>
  </r>
  <r>
    <x v="196"/>
    <n v="27400"/>
    <n v="-1200"/>
    <n v="-4.2"/>
    <n v="28700"/>
    <n v="28750"/>
    <n v="27150"/>
    <n v="423145"/>
    <n v="11794808750"/>
    <n v="409503439400"/>
    <n v="14945381"/>
  </r>
  <r>
    <x v="197"/>
    <n v="28600"/>
    <n v="1200"/>
    <n v="4.38"/>
    <n v="27900"/>
    <n v="28750"/>
    <n v="27550"/>
    <n v="365260"/>
    <n v="10311436050"/>
    <n v="428746346600"/>
    <n v="14991131"/>
  </r>
  <r>
    <x v="198"/>
    <n v="28750"/>
    <n v="150"/>
    <n v="0.52"/>
    <n v="28600"/>
    <n v="29050"/>
    <n v="27700"/>
    <n v="348809"/>
    <n v="9919458750"/>
    <n v="430995016250"/>
    <n v="14991131"/>
  </r>
  <r>
    <x v="199"/>
    <n v="29500"/>
    <n v="750"/>
    <n v="2.61"/>
    <n v="29350"/>
    <n v="30200"/>
    <n v="29050"/>
    <n v="694854"/>
    <n v="20599479350"/>
    <n v="442238364500"/>
    <n v="14991131"/>
  </r>
  <r>
    <x v="200"/>
    <n v="30350"/>
    <n v="850"/>
    <n v="2.88"/>
    <n v="30200"/>
    <n v="32500"/>
    <n v="29300"/>
    <n v="2075138"/>
    <n v="64357732350"/>
    <n v="454980825850"/>
    <n v="14991131"/>
  </r>
  <r>
    <x v="201"/>
    <n v="29750"/>
    <n v="-600"/>
    <n v="-1.98"/>
    <n v="30900"/>
    <n v="31050"/>
    <n v="29450"/>
    <n v="535040"/>
    <n v="16171673050"/>
    <n v="445986147250"/>
    <n v="14991131"/>
  </r>
  <r>
    <x v="202"/>
    <n v="28500"/>
    <n v="-1250"/>
    <n v="-4.2"/>
    <n v="29800"/>
    <n v="30250"/>
    <n v="28350"/>
    <n v="412017"/>
    <n v="11964687800"/>
    <n v="427247233500"/>
    <n v="14991131"/>
  </r>
  <r>
    <x v="203"/>
    <n v="29050"/>
    <n v="550"/>
    <n v="1.93"/>
    <n v="28050"/>
    <n v="29500"/>
    <n v="27950"/>
    <n v="382518"/>
    <n v="11037414500"/>
    <n v="435492355550"/>
    <n v="14991131"/>
  </r>
  <r>
    <x v="204"/>
    <n v="30000"/>
    <n v="950"/>
    <n v="3.27"/>
    <n v="29000"/>
    <n v="30800"/>
    <n v="28700"/>
    <n v="614599"/>
    <n v="18436692650"/>
    <n v="449733930000"/>
    <n v="14991131"/>
  </r>
  <r>
    <x v="205"/>
    <n v="28550"/>
    <n v="-1450"/>
    <n v="-4.83"/>
    <n v="29600"/>
    <n v="30200"/>
    <n v="28300"/>
    <n v="427126"/>
    <n v="12435211950"/>
    <n v="427996790050"/>
    <n v="14991131"/>
  </r>
  <r>
    <x v="206"/>
    <n v="30300"/>
    <n v="1750"/>
    <n v="6.13"/>
    <n v="28800"/>
    <n v="31750"/>
    <n v="28800"/>
    <n v="1456219"/>
    <n v="44408091750"/>
    <n v="454231269300"/>
    <n v="14991131"/>
  </r>
  <r>
    <x v="207"/>
    <n v="31100"/>
    <n v="800"/>
    <n v="2.64"/>
    <n v="30200"/>
    <n v="31800"/>
    <n v="30000"/>
    <n v="962830"/>
    <n v="29869103000"/>
    <n v="466224174100"/>
    <n v="14991131"/>
  </r>
  <r>
    <x v="208"/>
    <n v="30150"/>
    <n v="-950"/>
    <n v="-3.05"/>
    <n v="30950"/>
    <n v="31250"/>
    <n v="29550"/>
    <n v="569994"/>
    <n v="17205355350"/>
    <n v="451982599650"/>
    <n v="14991131"/>
  </r>
  <r>
    <x v="209"/>
    <n v="30600"/>
    <n v="450"/>
    <n v="1.49"/>
    <n v="30550"/>
    <n v="31350"/>
    <n v="30100"/>
    <n v="453987"/>
    <n v="13904632900"/>
    <n v="458728608600"/>
    <n v="14991131"/>
  </r>
  <r>
    <x v="210"/>
    <n v="31500"/>
    <n v="900"/>
    <n v="2.94"/>
    <n v="31400"/>
    <n v="34250"/>
    <n v="31050"/>
    <n v="1996372"/>
    <n v="64982416550"/>
    <n v="472220626500"/>
    <n v="14991131"/>
  </r>
  <r>
    <x v="211"/>
    <n v="30650"/>
    <n v="-850"/>
    <n v="-2.7"/>
    <n v="31400"/>
    <n v="31400"/>
    <n v="30450"/>
    <n v="501799"/>
    <n v="15466519100"/>
    <n v="459478165150"/>
    <n v="14991131"/>
  </r>
  <r>
    <x v="212"/>
    <n v="29400"/>
    <n v="-1250"/>
    <n v="-4.08"/>
    <n v="30300"/>
    <n v="30300"/>
    <n v="29000"/>
    <n v="407375"/>
    <n v="11975665700"/>
    <n v="440739251400"/>
    <n v="14991131"/>
  </r>
  <r>
    <x v="213"/>
    <n v="29600"/>
    <n v="200"/>
    <n v="0.68"/>
    <n v="29350"/>
    <n v="29950"/>
    <n v="29150"/>
    <n v="197631"/>
    <n v="5855575250"/>
    <n v="443737477600"/>
    <n v="14991131"/>
  </r>
  <r>
    <x v="214"/>
    <n v="29100"/>
    <n v="-500"/>
    <n v="-1.69"/>
    <n v="29600"/>
    <n v="30400"/>
    <n v="29000"/>
    <n v="315824"/>
    <n v="9307285950"/>
    <n v="436241912100"/>
    <n v="14991131"/>
  </r>
  <r>
    <x v="215"/>
    <n v="29150"/>
    <n v="50"/>
    <n v="0.17"/>
    <n v="29000"/>
    <n v="29250"/>
    <n v="28300"/>
    <n v="227607"/>
    <n v="6566557650"/>
    <n v="436991468650"/>
    <n v="14991131"/>
  </r>
  <r>
    <x v="216"/>
    <n v="30550"/>
    <n v="1400"/>
    <n v="4.8"/>
    <n v="29300"/>
    <n v="31650"/>
    <n v="28850"/>
    <n v="968483"/>
    <n v="29516024300"/>
    <n v="457979052050"/>
    <n v="14991131"/>
  </r>
  <r>
    <x v="217"/>
    <n v="29950"/>
    <n v="-600"/>
    <n v="-1.96"/>
    <n v="30800"/>
    <n v="30850"/>
    <n v="29700"/>
    <n v="303208"/>
    <n v="9113882250"/>
    <n v="448984373450"/>
    <n v="14991131"/>
  </r>
  <r>
    <x v="218"/>
    <n v="28700"/>
    <n v="-1250"/>
    <n v="-4.17"/>
    <n v="29650"/>
    <n v="29900"/>
    <n v="28700"/>
    <n v="239140"/>
    <n v="6946782650"/>
    <n v="430245459700"/>
    <n v="14991131"/>
  </r>
  <r>
    <x v="219"/>
    <n v="29050"/>
    <n v="350"/>
    <n v="1.22"/>
    <n v="28500"/>
    <n v="29500"/>
    <n v="28200"/>
    <n v="172868"/>
    <n v="5011206450"/>
    <n v="435492355550"/>
    <n v="14991131"/>
  </r>
  <r>
    <x v="220"/>
    <n v="28000"/>
    <n v="-1050"/>
    <n v="-3.61"/>
    <n v="28250"/>
    <n v="28450"/>
    <n v="27700"/>
    <n v="206509"/>
    <n v="5766866050"/>
    <n v="419751668000"/>
    <n v="14991131"/>
  </r>
  <r>
    <x v="221"/>
    <n v="27900"/>
    <n v="-100"/>
    <n v="-0.36"/>
    <n v="27250"/>
    <n v="28750"/>
    <n v="27250"/>
    <n v="159007"/>
    <n v="4453467100"/>
    <n v="418252554900"/>
    <n v="14991131"/>
  </r>
  <r>
    <x v="222"/>
    <n v="27850"/>
    <n v="-50"/>
    <n v="-0.18"/>
    <n v="28150"/>
    <n v="28300"/>
    <n v="27700"/>
    <n v="89471"/>
    <n v="2499003100"/>
    <n v="417502998350"/>
    <n v="14991131"/>
  </r>
  <r>
    <x v="223"/>
    <n v="27300"/>
    <n v="-550"/>
    <n v="-1.97"/>
    <n v="28100"/>
    <n v="28400"/>
    <n v="27300"/>
    <n v="129121"/>
    <n v="3573306600"/>
    <n v="409257876300"/>
    <n v="14991131"/>
  </r>
  <r>
    <x v="224"/>
    <n v="25800"/>
    <n v="-1500"/>
    <n v="-5.49"/>
    <n v="26850"/>
    <n v="27050"/>
    <n v="25800"/>
    <n v="199593"/>
    <n v="5216091200"/>
    <n v="386771179800"/>
    <n v="14991131"/>
  </r>
  <r>
    <x v="225"/>
    <n v="26750"/>
    <n v="950"/>
    <n v="3.68"/>
    <n v="25250"/>
    <n v="27100"/>
    <n v="25000"/>
    <n v="172920"/>
    <n v="4577159600"/>
    <n v="401012754250"/>
    <n v="14991131"/>
  </r>
  <r>
    <x v="226"/>
    <n v="27500"/>
    <n v="750"/>
    <n v="2.8"/>
    <n v="26600"/>
    <n v="27750"/>
    <n v="26500"/>
    <n v="174676"/>
    <n v="4768010200"/>
    <n v="412256102500"/>
    <n v="14991131"/>
  </r>
  <r>
    <x v="227"/>
    <n v="25950"/>
    <n v="-1550"/>
    <n v="-5.64"/>
    <n v="27500"/>
    <n v="27600"/>
    <n v="25850"/>
    <n v="175507"/>
    <n v="4635737250"/>
    <n v="389019849450"/>
    <n v="14991131"/>
  </r>
  <r>
    <x v="228"/>
    <n v="25800"/>
    <n v="-150"/>
    <n v="-0.58"/>
    <n v="25750"/>
    <n v="26200"/>
    <n v="25500"/>
    <n v="99383"/>
    <n v="2570066875"/>
    <n v="386771179800"/>
    <n v="14991131"/>
  </r>
  <r>
    <x v="229"/>
    <n v="26650"/>
    <n v="850"/>
    <n v="3.29"/>
    <n v="25700"/>
    <n v="27100"/>
    <n v="25700"/>
    <n v="161519"/>
    <n v="4311210275"/>
    <n v="399513641150"/>
    <n v="14991131"/>
  </r>
  <r>
    <x v="230"/>
    <n v="27400"/>
    <n v="750"/>
    <n v="2.81"/>
    <n v="25800"/>
    <n v="27625"/>
    <n v="25750"/>
    <n v="225124"/>
    <n v="6087851500"/>
    <n v="410756989400"/>
    <n v="14991131"/>
  </r>
  <r>
    <x v="231"/>
    <n v="27600"/>
    <n v="200"/>
    <n v="0.73"/>
    <n v="27400"/>
    <n v="28175"/>
    <n v="27150"/>
    <n v="174268"/>
    <n v="4846430300"/>
    <n v="413755215600"/>
    <n v="14991131"/>
  </r>
  <r>
    <x v="232"/>
    <n v="27000"/>
    <n v="-600"/>
    <n v="-2.17"/>
    <n v="28000"/>
    <n v="28150"/>
    <n v="27000"/>
    <n v="120820"/>
    <n v="3301007825"/>
    <n v="404760537000"/>
    <n v="14991131"/>
  </r>
  <r>
    <x v="233"/>
    <n v="28850"/>
    <n v="1850"/>
    <n v="6.85"/>
    <n v="27200"/>
    <n v="28850"/>
    <n v="27200"/>
    <n v="388339"/>
    <n v="11048118900"/>
    <n v="432494129350"/>
    <n v="14991131"/>
  </r>
  <r>
    <x v="234"/>
    <n v="28800"/>
    <n v="-50"/>
    <n v="-0.17"/>
    <n v="28850"/>
    <n v="29200"/>
    <n v="28300"/>
    <n v="167543"/>
    <n v="4819143800"/>
    <n v="431744572800"/>
    <n v="14991131"/>
  </r>
  <r>
    <x v="235"/>
    <n v="28900"/>
    <n v="100"/>
    <n v="0.35"/>
    <n v="28800"/>
    <n v="29000"/>
    <n v="28100"/>
    <n v="137189"/>
    <n v="3931618625"/>
    <n v="433243685900"/>
    <n v="14991131"/>
  </r>
  <r>
    <x v="236"/>
    <n v="27900"/>
    <n v="-1000"/>
    <n v="-3.46"/>
    <n v="28500"/>
    <n v="28800"/>
    <n v="27800"/>
    <n v="126510"/>
    <n v="3559605700"/>
    <n v="418252554900"/>
    <n v="14991131"/>
  </r>
  <r>
    <x v="237"/>
    <n v="27550"/>
    <n v="-350"/>
    <n v="-1.25"/>
    <n v="28000"/>
    <n v="28300"/>
    <n v="27550"/>
    <n v="111653"/>
    <n v="3103273800"/>
    <n v="413005659050"/>
    <n v="14991131"/>
  </r>
  <r>
    <x v="238"/>
    <n v="26300"/>
    <n v="-1250"/>
    <n v="-4.54"/>
    <n v="27350"/>
    <n v="27750"/>
    <n v="26300"/>
    <n v="145497"/>
    <n v="3885042700"/>
    <n v="394266745300"/>
    <n v="14991131"/>
  </r>
  <r>
    <x v="239"/>
    <n v="26350"/>
    <n v="50"/>
    <n v="0.19"/>
    <n v="26250"/>
    <n v="27650"/>
    <n v="26150"/>
    <n v="102575"/>
    <n v="2736074575"/>
    <n v="395016301850"/>
    <n v="14991131"/>
  </r>
  <r>
    <x v="240"/>
    <n v="25500"/>
    <n v="-850"/>
    <n v="-3.23"/>
    <n v="26750"/>
    <n v="27000"/>
    <n v="25500"/>
    <n v="92688"/>
    <n v="2409994750"/>
    <n v="382273840500"/>
    <n v="14991131"/>
  </r>
  <r>
    <x v="241"/>
    <n v="25850"/>
    <n v="350"/>
    <n v="1.37"/>
    <n v="25600"/>
    <n v="25900"/>
    <n v="25150"/>
    <n v="58430"/>
    <n v="1494682500"/>
    <n v="387520736350"/>
    <n v="14991131"/>
  </r>
  <r>
    <x v="242"/>
    <n v="25300"/>
    <n v="-550"/>
    <n v="-2.13"/>
    <n v="25400"/>
    <n v="25950"/>
    <n v="25100"/>
    <n v="58284"/>
    <n v="1481860400"/>
    <n v="379275614300"/>
    <n v="14991131"/>
  </r>
  <r>
    <x v="243"/>
    <n v="24100"/>
    <n v="-1200"/>
    <n v="-4.74"/>
    <n v="25300"/>
    <n v="25600"/>
    <n v="24050"/>
    <n v="97813"/>
    <n v="2392162625"/>
    <n v="361286257100"/>
    <n v="14991131"/>
  </r>
  <r>
    <x v="244"/>
    <n v="23150"/>
    <n v="-950"/>
    <n v="-3.94"/>
    <n v="23450"/>
    <n v="23750"/>
    <n v="23100"/>
    <n v="64539"/>
    <n v="1509135600"/>
    <n v="347044682650"/>
    <n v="14991131"/>
  </r>
  <r>
    <x v="245"/>
    <n v="23400"/>
    <n v="250"/>
    <n v="1.08"/>
    <n v="23250"/>
    <n v="23900"/>
    <n v="23150"/>
    <n v="35342"/>
    <n v="827788400"/>
    <n v="350792465400"/>
    <n v="14991131"/>
  </r>
  <r>
    <x v="246"/>
    <n v="22900"/>
    <n v="-500"/>
    <n v="-2.14"/>
    <n v="23900"/>
    <n v="24100"/>
    <n v="22900"/>
    <n v="55735"/>
    <n v="1297311200"/>
    <n v="343296899900"/>
    <n v="14991131"/>
  </r>
  <r>
    <x v="247"/>
    <n v="22950"/>
    <n v="50"/>
    <n v="0.22"/>
    <n v="22200"/>
    <n v="23400"/>
    <n v="22200"/>
    <n v="50395"/>
    <n v="1158164175"/>
    <n v="344046456450"/>
    <n v="14991131"/>
  </r>
  <r>
    <x v="248"/>
    <n v="22850"/>
    <n v="-100"/>
    <n v="-0.44"/>
    <n v="22500"/>
    <n v="23300"/>
    <n v="22400"/>
    <n v="64896"/>
    <n v="1478565850"/>
    <n v="342547343350"/>
    <n v="14991131"/>
  </r>
  <r>
    <x v="249"/>
    <n v="21100"/>
    <n v="-1750"/>
    <n v="-7.66"/>
    <n v="22250"/>
    <n v="22300"/>
    <n v="20950"/>
    <n v="79378"/>
    <n v="1694043775"/>
    <n v="316312864100"/>
    <n v="14991131"/>
  </r>
  <r>
    <x v="250"/>
    <n v="20600"/>
    <n v="-500"/>
    <n v="-2.37"/>
    <n v="21400"/>
    <n v="21800"/>
    <n v="20450"/>
    <n v="71138"/>
    <n v="1489420625"/>
    <n v="308817298600"/>
    <n v="14991131"/>
  </r>
  <r>
    <x v="251"/>
    <n v="19640"/>
    <n v="-960"/>
    <n v="-4.66"/>
    <n v="20150"/>
    <n v="20600"/>
    <n v="19490"/>
    <n v="131278"/>
    <n v="2612173545"/>
    <n v="294425812840"/>
    <n v="14991131"/>
  </r>
  <r>
    <x v="252"/>
    <n v="21400"/>
    <n v="1760"/>
    <n v="8.960000000000001"/>
    <n v="20800"/>
    <n v="21600"/>
    <n v="20450"/>
    <n v="72569"/>
    <n v="1526662400"/>
    <n v="320810203400"/>
    <n v="14991131"/>
  </r>
  <r>
    <x v="253"/>
    <n v="23450"/>
    <n v="2050"/>
    <n v="9.58"/>
    <n v="20800"/>
    <n v="23750"/>
    <n v="20800"/>
    <n v="145800"/>
    <n v="3308146775"/>
    <n v="351542021950"/>
    <n v="14991131"/>
  </r>
  <r>
    <x v="254"/>
    <n v="24150"/>
    <n v="700"/>
    <n v="2.99"/>
    <n v="24050"/>
    <n v="24150"/>
    <n v="23650"/>
    <n v="73381"/>
    <n v="1756026525"/>
    <n v="362035813650"/>
    <n v="14991131"/>
  </r>
  <r>
    <x v="255"/>
    <n v="24450"/>
    <n v="300"/>
    <n v="1.24"/>
    <n v="24200"/>
    <n v="25050"/>
    <n v="23950"/>
    <n v="76694"/>
    <n v="1885418050"/>
    <n v="366533152950"/>
    <n v="14991131"/>
  </r>
  <r>
    <x v="256"/>
    <n v="24000"/>
    <n v="-450"/>
    <n v="-1.84"/>
    <n v="24900"/>
    <n v="25000"/>
    <n v="23800"/>
    <n v="66972"/>
    <n v="1629633725"/>
    <n v="359787144000"/>
    <n v="14991131"/>
  </r>
  <r>
    <x v="257"/>
    <n v="24250"/>
    <n v="250"/>
    <n v="1.04"/>
    <n v="23700"/>
    <n v="24350"/>
    <n v="23700"/>
    <n v="32136"/>
    <n v="775068175"/>
    <n v="363534926750"/>
    <n v="14991131"/>
  </r>
  <r>
    <x v="258"/>
    <n v="24350"/>
    <n v="100"/>
    <n v="0.41"/>
    <n v="24500"/>
    <n v="24600"/>
    <n v="23750"/>
    <n v="31098"/>
    <n v="749198325"/>
    <n v="365034039850"/>
    <n v="14991131"/>
  </r>
  <r>
    <x v="259"/>
    <n v="24050"/>
    <n v="-300"/>
    <n v="-1.23"/>
    <n v="24150"/>
    <n v="24600"/>
    <n v="23850"/>
    <n v="32037"/>
    <n v="774608250"/>
    <n v="360536700550"/>
    <n v="14991131"/>
  </r>
  <r>
    <x v="260"/>
    <n v="24200"/>
    <n v="150"/>
    <n v="0.62"/>
    <n v="23600"/>
    <n v="24500"/>
    <n v="23600"/>
    <n v="43222"/>
    <n v="1043262675"/>
    <n v="362785370200"/>
    <n v="14991131"/>
  </r>
  <r>
    <x v="261"/>
    <n v="24650"/>
    <n v="450"/>
    <n v="1.86"/>
    <n v="24900"/>
    <n v="24900"/>
    <n v="24250"/>
    <n v="51339"/>
    <n v="1259963600"/>
    <n v="369531379150"/>
    <n v="14991131"/>
  </r>
  <r>
    <x v="262"/>
    <n v="24800"/>
    <n v="150"/>
    <n v="0.61"/>
    <n v="24800"/>
    <n v="25000"/>
    <n v="24550"/>
    <n v="74969"/>
    <n v="1857162925"/>
    <n v="371780048800"/>
    <n v="14991131"/>
  </r>
  <r>
    <x v="263"/>
    <n v="24350"/>
    <n v="-450"/>
    <n v="-1.81"/>
    <n v="25000"/>
    <n v="25000"/>
    <n v="24350"/>
    <n v="38655"/>
    <n v="950979600"/>
    <n v="365034039850"/>
    <n v="14991131"/>
  </r>
  <r>
    <x v="264"/>
    <n v="23750"/>
    <n v="-600"/>
    <n v="-2.46"/>
    <n v="24450"/>
    <n v="24450"/>
    <n v="23750"/>
    <n v="39507"/>
    <n v="947996700"/>
    <n v="356039361250"/>
    <n v="14991131"/>
  </r>
  <r>
    <x v="265"/>
    <n v="23950"/>
    <n v="200"/>
    <n v="0.84"/>
    <n v="23800"/>
    <n v="24000"/>
    <n v="23700"/>
    <n v="26114"/>
    <n v="622411475"/>
    <n v="359037587450"/>
    <n v="14991131"/>
  </r>
  <r>
    <x v="266"/>
    <n v="23150"/>
    <n v="-800"/>
    <n v="-3.34"/>
    <n v="23950"/>
    <n v="24000"/>
    <n v="23100"/>
    <n v="35512"/>
    <n v="829677475"/>
    <n v="347044682650"/>
    <n v="14991131"/>
  </r>
  <r>
    <x v="267"/>
    <n v="23150"/>
    <n v="0"/>
    <n v="0"/>
    <n v="22850"/>
    <n v="23650"/>
    <n v="22850"/>
    <n v="20189"/>
    <n v="468873825"/>
    <n v="347044682650"/>
    <n v="14991131"/>
  </r>
  <r>
    <x v="268"/>
    <n v="23700"/>
    <n v="550"/>
    <n v="2.38"/>
    <n v="23350"/>
    <n v="23700"/>
    <n v="23150"/>
    <n v="26838"/>
    <n v="631123275"/>
    <n v="355289804700"/>
    <n v="14991131"/>
  </r>
  <r>
    <x v="269"/>
    <n v="23900"/>
    <n v="200"/>
    <n v="0.84"/>
    <n v="23950"/>
    <n v="24100"/>
    <n v="23750"/>
    <n v="19545"/>
    <n v="467119575"/>
    <n v="358288030900"/>
    <n v="14991131"/>
  </r>
  <r>
    <x v="270"/>
    <n v="23250"/>
    <n v="-650"/>
    <n v="-2.72"/>
    <n v="24050"/>
    <n v="24050"/>
    <n v="22900"/>
    <n v="34945"/>
    <n v="813017025"/>
    <n v="353007795750"/>
    <n v="15183131"/>
  </r>
  <r>
    <x v="271"/>
    <n v="24200"/>
    <n v="950"/>
    <n v="4.09"/>
    <n v="23350"/>
    <n v="25750"/>
    <n v="23300"/>
    <n v="287130"/>
    <n v="7080344875"/>
    <n v="367431770200"/>
    <n v="15183131"/>
  </r>
  <r>
    <x v="272"/>
    <n v="24650"/>
    <n v="450"/>
    <n v="1.86"/>
    <n v="24400"/>
    <n v="25200"/>
    <n v="24400"/>
    <n v="83727"/>
    <n v="2079472250"/>
    <n v="374264179150"/>
    <n v="15183131"/>
  </r>
  <r>
    <x v="273"/>
    <n v="25900"/>
    <n v="1250"/>
    <n v="5.07"/>
    <n v="25000"/>
    <n v="25900"/>
    <n v="24700"/>
    <n v="128090"/>
    <n v="3240252075"/>
    <n v="393243092900"/>
    <n v="15183131"/>
  </r>
  <r>
    <x v="274"/>
    <n v="25700"/>
    <n v="-200"/>
    <n v="-0.77"/>
    <n v="26850"/>
    <n v="27000"/>
    <n v="25150"/>
    <n v="172141"/>
    <n v="4473563150"/>
    <n v="390206466700"/>
    <n v="15183131"/>
  </r>
  <r>
    <x v="275"/>
    <n v="25200"/>
    <n v="-500"/>
    <n v="-1.95"/>
    <n v="26000"/>
    <n v="26050"/>
    <n v="25000"/>
    <n v="72573"/>
    <n v="1852672025"/>
    <n v="382614901200"/>
    <n v="15183131"/>
  </r>
  <r>
    <x v="276"/>
    <n v="24100"/>
    <n v="-1100"/>
    <n v="-4.37"/>
    <n v="24650"/>
    <n v="24750"/>
    <n v="24050"/>
    <n v="58794"/>
    <n v="1429467575"/>
    <n v="365913457100"/>
    <n v="15183131"/>
  </r>
  <r>
    <x v="277"/>
    <n v="23850"/>
    <n v="-250"/>
    <n v="-1.04"/>
    <n v="24500"/>
    <n v="24950"/>
    <n v="23850"/>
    <n v="51022"/>
    <n v="1241025750"/>
    <n v="362117674350"/>
    <n v="15183131"/>
  </r>
  <r>
    <x v="278"/>
    <n v="23900"/>
    <n v="50"/>
    <n v="0.21"/>
    <n v="24000"/>
    <n v="24200"/>
    <n v="23800"/>
    <n v="34955"/>
    <n v="837839175"/>
    <n v="362876830900"/>
    <n v="15183131"/>
  </r>
  <r>
    <x v="279"/>
    <n v="23500"/>
    <n v="-400"/>
    <n v="-1.67"/>
    <n v="23450"/>
    <n v="23700"/>
    <n v="23200"/>
    <n v="26425"/>
    <n v="618558900"/>
    <n v="356803578500"/>
    <n v="15183131"/>
  </r>
  <r>
    <x v="280"/>
    <n v="23050"/>
    <n v="-450"/>
    <n v="-1.91"/>
    <n v="23550"/>
    <n v="23600"/>
    <n v="23000"/>
    <n v="29904"/>
    <n v="694350050"/>
    <n v="349971169550"/>
    <n v="15183131"/>
  </r>
  <r>
    <x v="281"/>
    <n v="23300"/>
    <n v="250"/>
    <n v="1.08"/>
    <n v="22850"/>
    <n v="23500"/>
    <n v="22700"/>
    <n v="24675"/>
    <n v="572250125"/>
    <n v="353766952300"/>
    <n v="15183131"/>
  </r>
  <r>
    <x v="282"/>
    <n v="23150"/>
    <n v="-150"/>
    <n v="-0.64"/>
    <n v="23300"/>
    <n v="23400"/>
    <n v="22900"/>
    <n v="24644"/>
    <n v="569079825"/>
    <n v="351489482650"/>
    <n v="15183131"/>
  </r>
  <r>
    <x v="283"/>
    <n v="23350"/>
    <n v="200"/>
    <n v="0.86"/>
    <n v="23200"/>
    <n v="23600"/>
    <n v="23200"/>
    <n v="27428"/>
    <n v="640561550"/>
    <n v="354526108850"/>
    <n v="15183131"/>
  </r>
  <r>
    <x v="284"/>
    <n v="23350"/>
    <n v="0"/>
    <n v="0"/>
    <n v="23450"/>
    <n v="23800"/>
    <n v="23050"/>
    <n v="30447"/>
    <n v="712419625"/>
    <n v="354526108850"/>
    <n v="15183131"/>
  </r>
  <r>
    <x v="285"/>
    <n v="23050"/>
    <n v="-300"/>
    <n v="-1.28"/>
    <n v="23400"/>
    <n v="23400"/>
    <n v="22850"/>
    <n v="30048"/>
    <n v="691866375"/>
    <n v="349971169550"/>
    <n v="15183131"/>
  </r>
  <r>
    <x v="286"/>
    <n v="22900"/>
    <n v="-150"/>
    <n v="-0.65"/>
    <n v="22950"/>
    <n v="23000"/>
    <n v="22700"/>
    <n v="30409"/>
    <n v="694229800"/>
    <n v="347693699900"/>
    <n v="15183131"/>
  </r>
  <r>
    <x v="287"/>
    <n v="23700"/>
    <n v="800"/>
    <n v="3.49"/>
    <n v="23300"/>
    <n v="23850"/>
    <n v="23150"/>
    <n v="48715"/>
    <n v="1146756750"/>
    <n v="359840204700"/>
    <n v="15183131"/>
  </r>
  <r>
    <x v="288"/>
    <n v="23850"/>
    <n v="150"/>
    <n v="0.63"/>
    <n v="23700"/>
    <n v="23900"/>
    <n v="23350"/>
    <n v="36255"/>
    <n v="857552325"/>
    <n v="362117674350"/>
    <n v="15183131"/>
  </r>
  <r>
    <x v="289"/>
    <n v="23850"/>
    <n v="0"/>
    <n v="0"/>
    <n v="24200"/>
    <n v="24200"/>
    <n v="23650"/>
    <n v="34447"/>
    <n v="824561325"/>
    <n v="362117674350"/>
    <n v="15183131"/>
  </r>
  <r>
    <x v="290"/>
    <n v="24000"/>
    <n v="150"/>
    <n v="0.63"/>
    <n v="24050"/>
    <n v="24200"/>
    <n v="23550"/>
    <n v="43320"/>
    <n v="1034992575"/>
    <n v="364395144000"/>
    <n v="15183131"/>
  </r>
  <r>
    <x v="291"/>
    <n v="24050"/>
    <n v="50"/>
    <n v="0.21"/>
    <n v="24050"/>
    <n v="24100"/>
    <n v="23650"/>
    <n v="46049"/>
    <n v="1098494925"/>
    <n v="365154300550"/>
    <n v="15183131"/>
  </r>
  <r>
    <x v="292"/>
    <n v="24250"/>
    <n v="200"/>
    <n v="0.83"/>
    <n v="24000"/>
    <n v="24300"/>
    <n v="23900"/>
    <n v="50752"/>
    <n v="1225395400"/>
    <n v="368190926750"/>
    <n v="15183131"/>
  </r>
  <r>
    <x v="293"/>
    <n v="23250"/>
    <n v="-1000"/>
    <n v="-4.12"/>
    <n v="24400"/>
    <n v="24400"/>
    <n v="22950"/>
    <n v="94951"/>
    <n v="2207995175"/>
    <n v="353007795750"/>
    <n v="15183131"/>
  </r>
  <r>
    <x v="294"/>
    <n v="23000"/>
    <n v="-250"/>
    <n v="-1.08"/>
    <n v="22700"/>
    <n v="23000"/>
    <n v="22500"/>
    <n v="70413"/>
    <n v="1600360950"/>
    <n v="349212013000"/>
    <n v="15183131"/>
  </r>
  <r>
    <x v="295"/>
    <n v="22700"/>
    <n v="-300"/>
    <n v="-1.3"/>
    <n v="23200"/>
    <n v="23500"/>
    <n v="22550"/>
    <n v="87098"/>
    <n v="2003615350"/>
    <n v="344657073700"/>
    <n v="15183131"/>
  </r>
  <r>
    <x v="296"/>
    <n v="22950"/>
    <n v="250"/>
    <n v="1.1"/>
    <n v="22650"/>
    <n v="23000"/>
    <n v="22400"/>
    <n v="45891"/>
    <n v="1045335275"/>
    <n v="348452856450"/>
    <n v="15183131"/>
  </r>
  <r>
    <x v="297"/>
    <n v="23500"/>
    <n v="550"/>
    <n v="2.4"/>
    <n v="23200"/>
    <n v="23600"/>
    <n v="22950"/>
    <n v="69022"/>
    <n v="1611339075"/>
    <n v="356803578500"/>
    <n v="15183131"/>
  </r>
  <r>
    <x v="298"/>
    <n v="23650"/>
    <n v="150"/>
    <n v="0.64"/>
    <n v="23500"/>
    <n v="24400"/>
    <n v="23250"/>
    <n v="182450"/>
    <n v="4341144300"/>
    <n v="359081048150"/>
    <n v="15183131"/>
  </r>
  <r>
    <x v="299"/>
    <n v="24800"/>
    <n v="1150"/>
    <n v="4.86"/>
    <n v="23100"/>
    <n v="25500"/>
    <n v="22750"/>
    <n v="326771"/>
    <n v="7981513175"/>
    <n v="376541648800"/>
    <n v="15183131"/>
  </r>
  <r>
    <x v="300"/>
    <n v="25200"/>
    <n v="400"/>
    <n v="1.61"/>
    <n v="25800"/>
    <n v="25850"/>
    <n v="24800"/>
    <n v="196763"/>
    <n v="4967391400"/>
    <n v="382614901200"/>
    <n v="15183131"/>
  </r>
  <r>
    <x v="301"/>
    <n v="24850"/>
    <n v="-350"/>
    <n v="-1.39"/>
    <n v="25100"/>
    <n v="25200"/>
    <n v="24300"/>
    <n v="85959"/>
    <n v="2130649525"/>
    <n v="377300805350"/>
    <n v="15183131"/>
  </r>
  <r>
    <x v="302"/>
    <n v="24250"/>
    <n v="-600"/>
    <n v="-2.41"/>
    <n v="25150"/>
    <n v="25300"/>
    <n v="23750"/>
    <n v="83419"/>
    <n v="2020818325"/>
    <n v="368190926750"/>
    <n v="15183131"/>
  </r>
  <r>
    <x v="303"/>
    <n v="24500"/>
    <n v="250"/>
    <n v="1.03"/>
    <n v="24700"/>
    <n v="24800"/>
    <n v="24100"/>
    <n v="92287"/>
    <n v="2251537200"/>
    <n v="371986709500"/>
    <n v="15183131"/>
  </r>
  <r>
    <x v="304"/>
    <n v="24150"/>
    <n v="-350"/>
    <n v="-1.43"/>
    <n v="24800"/>
    <n v="24900"/>
    <n v="24050"/>
    <n v="51633"/>
    <n v="1255561050"/>
    <n v="366672613650"/>
    <n v="15183131"/>
  </r>
  <r>
    <x v="305"/>
    <n v="24100"/>
    <n v="-50"/>
    <n v="-0.21"/>
    <n v="24400"/>
    <n v="24550"/>
    <n v="24100"/>
    <n v="46072"/>
    <n v="1119838900"/>
    <n v="365913457100"/>
    <n v="15183131"/>
  </r>
  <r>
    <x v="306"/>
    <n v="23750"/>
    <n v="-350"/>
    <n v="-1.45"/>
    <n v="23950"/>
    <n v="24350"/>
    <n v="23350"/>
    <n v="39107"/>
    <n v="925784425"/>
    <n v="360599361250"/>
    <n v="15183131"/>
  </r>
  <r>
    <x v="307"/>
    <n v="23900"/>
    <n v="150"/>
    <n v="0.63"/>
    <n v="23800"/>
    <n v="24050"/>
    <n v="23750"/>
    <n v="29109"/>
    <n v="696675475"/>
    <n v="362876830900"/>
    <n v="15183131"/>
  </r>
  <r>
    <x v="308"/>
    <n v="23950"/>
    <n v="50"/>
    <n v="0.21"/>
    <n v="24250"/>
    <n v="24650"/>
    <n v="23650"/>
    <n v="46815"/>
    <n v="1128806375"/>
    <n v="363635987450"/>
    <n v="15183131"/>
  </r>
  <r>
    <x v="309"/>
    <n v="23350"/>
    <n v="-600"/>
    <n v="-2.51"/>
    <n v="23650"/>
    <n v="23950"/>
    <n v="23050"/>
    <n v="55669"/>
    <n v="1299889900"/>
    <n v="354526108850"/>
    <n v="15183131"/>
  </r>
  <r>
    <x v="310"/>
    <n v="23000"/>
    <n v="-350"/>
    <n v="-1.5"/>
    <n v="23500"/>
    <n v="23500"/>
    <n v="22800"/>
    <n v="46342"/>
    <n v="1067874275"/>
    <n v="349212013000"/>
    <n v="15183131"/>
  </r>
  <r>
    <x v="311"/>
    <n v="23250"/>
    <n v="250"/>
    <n v="1.09"/>
    <n v="23200"/>
    <n v="23600"/>
    <n v="23000"/>
    <n v="52202"/>
    <n v="1210418600"/>
    <n v="353007795750"/>
    <n v="15183131"/>
  </r>
  <r>
    <x v="312"/>
    <n v="23100"/>
    <n v="-150"/>
    <n v="-0.65"/>
    <n v="23400"/>
    <n v="23400"/>
    <n v="23050"/>
    <n v="22977"/>
    <n v="532137050"/>
    <n v="350730326100"/>
    <n v="15183131"/>
  </r>
  <r>
    <x v="313"/>
    <n v="23100"/>
    <n v="0"/>
    <n v="0"/>
    <n v="23250"/>
    <n v="23350"/>
    <n v="23050"/>
    <n v="18913"/>
    <n v="438128825"/>
    <n v="350730326100"/>
    <n v="15183131"/>
  </r>
  <r>
    <x v="314"/>
    <n v="22950"/>
    <n v="-150"/>
    <n v="-0.65"/>
    <n v="23100"/>
    <n v="23200"/>
    <n v="22900"/>
    <n v="29200"/>
    <n v="672060725"/>
    <n v="348452856450"/>
    <n v="15183131"/>
  </r>
  <r>
    <x v="315"/>
    <n v="23600"/>
    <n v="650"/>
    <n v="2.83"/>
    <n v="22900"/>
    <n v="23750"/>
    <n v="22750"/>
    <n v="54269"/>
    <n v="1259490700"/>
    <n v="358321891600"/>
    <n v="15183131"/>
  </r>
  <r>
    <x v="316"/>
    <n v="23250"/>
    <n v="-350"/>
    <n v="-1.48"/>
    <n v="23400"/>
    <n v="23400"/>
    <n v="23000"/>
    <n v="21969"/>
    <n v="508447275"/>
    <n v="353007795750"/>
    <n v="15183131"/>
  </r>
  <r>
    <x v="317"/>
    <n v="24450"/>
    <n v="1200"/>
    <n v="5.16"/>
    <n v="24750"/>
    <n v="24950"/>
    <n v="23900"/>
    <n v="204021"/>
    <n v="4982962750"/>
    <n v="371227552950"/>
    <n v="15183131"/>
  </r>
  <r>
    <x v="318"/>
    <n v="24300"/>
    <n v="-150"/>
    <n v="-0.61"/>
    <n v="24400"/>
    <n v="24500"/>
    <n v="24100"/>
    <n v="55002"/>
    <n v="1334786375"/>
    <n v="368950083300"/>
    <n v="15183131"/>
  </r>
  <r>
    <x v="319"/>
    <n v="24250"/>
    <n v="-50"/>
    <n v="-0.21"/>
    <n v="24450"/>
    <n v="24550"/>
    <n v="23950"/>
    <n v="63546"/>
    <n v="1536100000"/>
    <n v="368190926750"/>
    <n v="15183131"/>
  </r>
  <r>
    <x v="320"/>
    <n v="23550"/>
    <n v="-700"/>
    <n v="-2.89"/>
    <n v="24250"/>
    <n v="24300"/>
    <n v="23250"/>
    <n v="67804"/>
    <n v="1602802575"/>
    <n v="357562735050"/>
    <n v="15183131"/>
  </r>
  <r>
    <x v="321"/>
    <n v="23350"/>
    <n v="-200"/>
    <n v="-0.85"/>
    <n v="23650"/>
    <n v="23700"/>
    <n v="22900"/>
    <n v="48621"/>
    <n v="1126162800"/>
    <n v="354526108850"/>
    <n v="15183131"/>
  </r>
  <r>
    <x v="322"/>
    <n v="23300"/>
    <n v="-50"/>
    <n v="-0.21"/>
    <n v="23400"/>
    <n v="23600"/>
    <n v="23050"/>
    <n v="47936"/>
    <n v="1112825300"/>
    <n v="353766952300"/>
    <n v="15183131"/>
  </r>
  <r>
    <x v="323"/>
    <n v="23150"/>
    <n v="-150"/>
    <n v="-0.64"/>
    <n v="23250"/>
    <n v="23450"/>
    <n v="22950"/>
    <n v="31238"/>
    <n v="722787450"/>
    <n v="351489482650"/>
    <n v="15183131"/>
  </r>
  <r>
    <x v="324"/>
    <n v="22950"/>
    <n v="-200"/>
    <n v="-0.86"/>
    <n v="23150"/>
    <n v="23200"/>
    <n v="22750"/>
    <n v="44222"/>
    <n v="1012583600"/>
    <n v="348452856450"/>
    <n v="15183131"/>
  </r>
  <r>
    <x v="325"/>
    <n v="23000"/>
    <n v="50"/>
    <n v="0.22"/>
    <n v="23200"/>
    <n v="23500"/>
    <n v="22900"/>
    <n v="35148"/>
    <n v="810056100"/>
    <n v="349212013000"/>
    <n v="15183131"/>
  </r>
  <r>
    <x v="326"/>
    <n v="23050"/>
    <n v="50"/>
    <n v="0.22"/>
    <n v="22850"/>
    <n v="23200"/>
    <n v="22800"/>
    <n v="44452"/>
    <n v="1022836375"/>
    <n v="349971169550"/>
    <n v="15183131"/>
  </r>
  <r>
    <x v="327"/>
    <n v="22950"/>
    <n v="-100"/>
    <n v="-0.43"/>
    <n v="23400"/>
    <n v="23400"/>
    <n v="22650"/>
    <n v="44070"/>
    <n v="1008826175"/>
    <n v="348452856450"/>
    <n v="15183131"/>
  </r>
  <r>
    <x v="328"/>
    <n v="22050"/>
    <n v="-900"/>
    <n v="-3.92"/>
    <n v="22650"/>
    <n v="22750"/>
    <n v="21800"/>
    <n v="71631"/>
    <n v="1581967550"/>
    <n v="334788038550"/>
    <n v="15183131"/>
  </r>
  <r>
    <x v="329"/>
    <n v="21850"/>
    <n v="-200"/>
    <n v="-0.91"/>
    <n v="21500"/>
    <n v="22150"/>
    <n v="21500"/>
    <n v="28824"/>
    <n v="629774650"/>
    <n v="331751412350"/>
    <n v="15183131"/>
  </r>
  <r>
    <x v="330"/>
    <n v="22300"/>
    <n v="450"/>
    <n v="2.06"/>
    <n v="21950"/>
    <n v="22400"/>
    <n v="21950"/>
    <n v="24424"/>
    <n v="542364550"/>
    <n v="338583821300"/>
    <n v="15183131"/>
  </r>
  <r>
    <x v="331"/>
    <n v="22450"/>
    <n v="150"/>
    <n v="0.67"/>
    <n v="22200"/>
    <n v="22500"/>
    <n v="22000"/>
    <n v="21464"/>
    <n v="479197775"/>
    <n v="340861290950"/>
    <n v="15183131"/>
  </r>
  <r>
    <x v="332"/>
    <n v="22600"/>
    <n v="150"/>
    <n v="0.67"/>
    <n v="22500"/>
    <n v="22600"/>
    <n v="22250"/>
    <n v="17636"/>
    <n v="396829875"/>
    <n v="343138760600"/>
    <n v="15183131"/>
  </r>
  <r>
    <x v="333"/>
    <n v="22550"/>
    <n v="-50"/>
    <n v="-0.22"/>
    <n v="22350"/>
    <n v="22700"/>
    <n v="22250"/>
    <n v="22883"/>
    <n v="514043900"/>
    <n v="342379604050"/>
    <n v="15183131"/>
  </r>
  <r>
    <x v="334"/>
    <n v="22650"/>
    <n v="100"/>
    <n v="0.44"/>
    <n v="22800"/>
    <n v="22800"/>
    <n v="22500"/>
    <n v="19395"/>
    <n v="438686100"/>
    <n v="343897917150"/>
    <n v="15183131"/>
  </r>
  <r>
    <x v="335"/>
    <n v="22750"/>
    <n v="100"/>
    <n v="0.44"/>
    <n v="22500"/>
    <n v="23200"/>
    <n v="22500"/>
    <n v="32321"/>
    <n v="738584350"/>
    <n v="345416230250"/>
    <n v="15183131"/>
  </r>
  <r>
    <x v="336"/>
    <n v="22650"/>
    <n v="-100"/>
    <n v="-0.44"/>
    <n v="22750"/>
    <n v="22850"/>
    <n v="22350"/>
    <n v="20009"/>
    <n v="451729350"/>
    <n v="343897917150"/>
    <n v="15183131"/>
  </r>
  <r>
    <x v="337"/>
    <n v="22450"/>
    <n v="-200"/>
    <n v="-0.88"/>
    <n v="22600"/>
    <n v="22850"/>
    <n v="22350"/>
    <n v="22497"/>
    <n v="505771275"/>
    <n v="340861290950"/>
    <n v="15183131"/>
  </r>
  <r>
    <x v="338"/>
    <n v="22000"/>
    <n v="-450"/>
    <n v="-2"/>
    <n v="22550"/>
    <n v="22550"/>
    <n v="21950"/>
    <n v="25194"/>
    <n v="555964900"/>
    <n v="334028882000"/>
    <n v="15183131"/>
  </r>
  <r>
    <x v="339"/>
    <n v="21700"/>
    <n v="-300"/>
    <n v="-1.36"/>
    <n v="21850"/>
    <n v="22000"/>
    <n v="21500"/>
    <n v="30819"/>
    <n v="667390325"/>
    <n v="329473942700"/>
    <n v="15183131"/>
  </r>
  <r>
    <x v="340"/>
    <n v="21050"/>
    <n v="-650"/>
    <n v="-3"/>
    <n v="21200"/>
    <n v="21400"/>
    <n v="20850"/>
    <n v="26602"/>
    <n v="558320325"/>
    <n v="319604907550"/>
    <n v="15183131"/>
  </r>
  <r>
    <x v="341"/>
    <n v="20800"/>
    <n v="-250"/>
    <n v="-1.19"/>
    <n v="21000"/>
    <n v="21300"/>
    <n v="20800"/>
    <n v="20970"/>
    <n v="439860975"/>
    <n v="315809124800"/>
    <n v="15183131"/>
  </r>
  <r>
    <x v="342"/>
    <n v="20950"/>
    <n v="150"/>
    <n v="0.72"/>
    <n v="20750"/>
    <n v="21275"/>
    <n v="20750"/>
    <n v="22011"/>
    <n v="463095225"/>
    <n v="318086594450"/>
    <n v="15183131"/>
  </r>
  <r>
    <x v="343"/>
    <n v="22150"/>
    <n v="1200"/>
    <n v="5.73"/>
    <n v="21250"/>
    <n v="22450"/>
    <n v="21200"/>
    <n v="70325"/>
    <n v="1546433175"/>
    <n v="336306351650"/>
    <n v="15183131"/>
  </r>
  <r>
    <x v="344"/>
    <n v="22100"/>
    <n v="-50"/>
    <n v="-0.23"/>
    <n v="22000"/>
    <n v="22400"/>
    <n v="21850"/>
    <n v="60443"/>
    <n v="1340331775"/>
    <n v="335547195100"/>
    <n v="15183131"/>
  </r>
  <r>
    <x v="345"/>
    <n v="22150"/>
    <n v="50"/>
    <n v="0.23"/>
    <n v="22550"/>
    <n v="22550"/>
    <n v="21700"/>
    <n v="33355"/>
    <n v="734508875"/>
    <n v="336306351650"/>
    <n v="15183131"/>
  </r>
  <r>
    <x v="346"/>
    <n v="21950"/>
    <n v="-200"/>
    <n v="-0.9"/>
    <n v="22400"/>
    <n v="22550"/>
    <n v="21700"/>
    <n v="37513"/>
    <n v="824792250"/>
    <n v="333269725450"/>
    <n v="15183131"/>
  </r>
  <r>
    <x v="347"/>
    <n v="21200"/>
    <n v="-750"/>
    <n v="-3.42"/>
    <n v="21800"/>
    <n v="21950"/>
    <n v="21150"/>
    <n v="34314"/>
    <n v="733794700"/>
    <n v="321882377200"/>
    <n v="15183131"/>
  </r>
  <r>
    <x v="348"/>
    <n v="20750"/>
    <n v="-450"/>
    <n v="-2.12"/>
    <n v="21450"/>
    <n v="21600"/>
    <n v="20600"/>
    <n v="28833"/>
    <n v="603872775"/>
    <n v="315049968250"/>
    <n v="15183131"/>
  </r>
  <r>
    <x v="349"/>
    <n v="21800"/>
    <n v="1050"/>
    <n v="5.06"/>
    <n v="21400"/>
    <n v="21900"/>
    <n v="21150"/>
    <n v="51799"/>
    <n v="1117011850"/>
    <n v="330992255800"/>
    <n v="15183131"/>
  </r>
  <r>
    <x v="350"/>
    <n v="21600"/>
    <n v="-200"/>
    <n v="-0.92"/>
    <n v="22100"/>
    <n v="22100"/>
    <n v="21400"/>
    <n v="22356"/>
    <n v="484251375"/>
    <n v="327955629600"/>
    <n v="15183131"/>
  </r>
  <r>
    <x v="351"/>
    <n v="21800"/>
    <n v="200"/>
    <n v="0.93"/>
    <n v="21600"/>
    <n v="21850"/>
    <n v="21550"/>
    <n v="15151"/>
    <n v="328744375"/>
    <n v="330992255800"/>
    <n v="15183131"/>
  </r>
  <r>
    <x v="352"/>
    <n v="21900"/>
    <n v="100"/>
    <n v="0.46"/>
    <n v="21750"/>
    <n v="22050"/>
    <n v="21600"/>
    <n v="24710"/>
    <n v="540472425"/>
    <n v="332510568900"/>
    <n v="15183131"/>
  </r>
  <r>
    <x v="353"/>
    <n v="21750"/>
    <n v="-150"/>
    <n v="-0.68"/>
    <n v="22000"/>
    <n v="22250"/>
    <n v="21600"/>
    <n v="37653"/>
    <n v="824051950"/>
    <n v="330233099250"/>
    <n v="15183131"/>
  </r>
  <r>
    <x v="354"/>
    <n v="21600"/>
    <n v="-150"/>
    <n v="-0.6899999999999999"/>
    <n v="21750"/>
    <n v="21750"/>
    <n v="21400"/>
    <n v="21595"/>
    <n v="465181550"/>
    <n v="327955629600"/>
    <n v="15183131"/>
  </r>
  <r>
    <x v="355"/>
    <n v="21950"/>
    <n v="350"/>
    <n v="1.62"/>
    <n v="21900"/>
    <n v="22200"/>
    <n v="21700"/>
    <n v="31513"/>
    <n v="689709975"/>
    <n v="333269725450"/>
    <n v="15183131"/>
  </r>
  <r>
    <x v="356"/>
    <n v="21900"/>
    <n v="-50"/>
    <n v="-0.23"/>
    <n v="22050"/>
    <n v="22050"/>
    <n v="21600"/>
    <n v="78736"/>
    <n v="1715259975"/>
    <n v="332510568900"/>
    <n v="15183131"/>
  </r>
  <r>
    <x v="357"/>
    <n v="22200"/>
    <n v="300"/>
    <n v="1.37"/>
    <n v="22300"/>
    <n v="22350"/>
    <n v="21900"/>
    <n v="138612"/>
    <n v="3066656100"/>
    <n v="337065508200"/>
    <n v="15183131"/>
  </r>
  <r>
    <x v="358"/>
    <n v="22950"/>
    <n v="750"/>
    <n v="3.38"/>
    <n v="23150"/>
    <n v="23300"/>
    <n v="22450"/>
    <n v="179709"/>
    <n v="4104942600"/>
    <n v="348452856450"/>
    <n v="15183131"/>
  </r>
  <r>
    <x v="359"/>
    <n v="23750"/>
    <n v="800"/>
    <n v="3.49"/>
    <n v="25300"/>
    <n v="25300"/>
    <n v="23500"/>
    <n v="415374"/>
    <n v="10086122325"/>
    <n v="360599361250"/>
    <n v="15183131"/>
  </r>
  <r>
    <x v="360"/>
    <n v="23250"/>
    <n v="-500"/>
    <n v="-2.11"/>
    <n v="23550"/>
    <n v="23850"/>
    <n v="23000"/>
    <n v="134044"/>
    <n v="3129678350"/>
    <n v="353007795750"/>
    <n v="15183131"/>
  </r>
  <r>
    <x v="361"/>
    <n v="24750"/>
    <n v="1500"/>
    <n v="6.45"/>
    <n v="24500"/>
    <n v="25500"/>
    <n v="24200"/>
    <n v="532874"/>
    <n v="13199042275"/>
    <n v="375782492250"/>
    <n v="15183131"/>
  </r>
  <r>
    <x v="362"/>
    <n v="25450"/>
    <n v="700"/>
    <n v="2.83"/>
    <n v="25600"/>
    <n v="27150"/>
    <n v="24550"/>
    <n v="1100065"/>
    <n v="28591436175"/>
    <n v="386410683950"/>
    <n v="15183131"/>
  </r>
  <r>
    <x v="363"/>
    <n v="26700"/>
    <n v="1250"/>
    <n v="4.91"/>
    <n v="27150"/>
    <n v="27950"/>
    <n v="26500"/>
    <n v="560257"/>
    <n v="15196602475"/>
    <n v="405389597700"/>
    <n v="15183131"/>
  </r>
  <r>
    <x v="364"/>
    <n v="25800"/>
    <n v="-900"/>
    <n v="-3.37"/>
    <n v="26700"/>
    <n v="26850"/>
    <n v="25600"/>
    <n v="268837"/>
    <n v="6968266800"/>
    <n v="391724779800"/>
    <n v="15183131"/>
  </r>
  <r>
    <x v="365"/>
    <n v="24600"/>
    <n v="-1200"/>
    <n v="-4.65"/>
    <n v="25000"/>
    <n v="25550"/>
    <n v="24100"/>
    <n v="219091"/>
    <n v="5419929650"/>
    <n v="373505022600"/>
    <n v="15183131"/>
  </r>
  <r>
    <x v="366"/>
    <n v="24100"/>
    <n v="-500"/>
    <n v="-2.03"/>
    <n v="24800"/>
    <n v="25550"/>
    <n v="24000"/>
    <n v="225600"/>
    <n v="5610383750"/>
    <n v="365913457100"/>
    <n v="15183131"/>
  </r>
  <r>
    <x v="367"/>
    <n v="24200"/>
    <n v="100"/>
    <n v="0.41"/>
    <n v="25100"/>
    <n v="25350"/>
    <n v="24050"/>
    <n v="207058"/>
    <n v="5125881400"/>
    <n v="367431770200"/>
    <n v="15183131"/>
  </r>
  <r>
    <x v="368"/>
    <n v="24950"/>
    <n v="750"/>
    <n v="3.1"/>
    <n v="25050"/>
    <n v="25200"/>
    <n v="24350"/>
    <n v="132079"/>
    <n v="3276545825"/>
    <n v="378819118450"/>
    <n v="15183131"/>
  </r>
  <r>
    <x v="369"/>
    <n v="25000"/>
    <n v="50"/>
    <n v="0.2"/>
    <n v="25600"/>
    <n v="25650"/>
    <n v="24500"/>
    <n v="118766"/>
    <n v="2968433400"/>
    <n v="379578275000"/>
    <n v="15183131"/>
  </r>
  <r>
    <x v="370"/>
    <n v="24400"/>
    <n v="-600"/>
    <n v="-2.4"/>
    <n v="24800"/>
    <n v="24900"/>
    <n v="24200"/>
    <n v="79421"/>
    <n v="1941803925"/>
    <n v="370468396400"/>
    <n v="15183131"/>
  </r>
  <r>
    <x v="371"/>
    <n v="23900"/>
    <n v="-500"/>
    <n v="-2.05"/>
    <n v="24400"/>
    <n v="24400"/>
    <n v="23500"/>
    <n v="83929"/>
    <n v="2002168550"/>
    <n v="362876830900"/>
    <n v="15183131"/>
  </r>
  <r>
    <x v="372"/>
    <n v="26400"/>
    <n v="2500"/>
    <n v="10.46"/>
    <n v="24600"/>
    <n v="26450"/>
    <n v="24250"/>
    <n v="470386"/>
    <n v="12135847775"/>
    <n v="400834658400"/>
    <n v="15183131"/>
  </r>
  <r>
    <x v="373"/>
    <n v="26650"/>
    <n v="250"/>
    <n v="0.95"/>
    <n v="25800"/>
    <n v="26750"/>
    <n v="25350"/>
    <n v="278003"/>
    <n v="7256338175"/>
    <n v="404630441150"/>
    <n v="15183131"/>
  </r>
  <r>
    <x v="374"/>
    <n v="25650"/>
    <n v="-1000"/>
    <n v="-3.75"/>
    <n v="27200"/>
    <n v="28100"/>
    <n v="24950"/>
    <n v="947231"/>
    <n v="25081714300"/>
    <n v="389447310150"/>
    <n v="15183131"/>
  </r>
  <r>
    <x v="375"/>
    <n v="30500"/>
    <n v="4850"/>
    <n v="18.91"/>
    <n v="28500"/>
    <n v="31300"/>
    <n v="27700"/>
    <n v="3385035"/>
    <n v="101406068625"/>
    <n v="463085495500"/>
    <n v="15183131"/>
  </r>
  <r>
    <x v="376"/>
    <n v="32100"/>
    <n v="1600"/>
    <n v="5.25"/>
    <n v="33450"/>
    <n v="35150"/>
    <n v="30800"/>
    <n v="2058314"/>
    <n v="67520288350"/>
    <n v="487378505100"/>
    <n v="15183131"/>
  </r>
  <r>
    <x v="377"/>
    <n v="30250"/>
    <n v="-1850"/>
    <n v="-5.76"/>
    <n v="30500"/>
    <n v="32450"/>
    <n v="30050"/>
    <n v="639851"/>
    <n v="19740382025"/>
    <n v="459289712750"/>
    <n v="15183131"/>
  </r>
  <r>
    <x v="378"/>
    <n v="31700"/>
    <n v="1450"/>
    <n v="4.79"/>
    <n v="31400"/>
    <n v="32200"/>
    <n v="30700"/>
    <n v="586055"/>
    <n v="18438158875"/>
    <n v="481305252700"/>
    <n v="15183131"/>
  </r>
  <r>
    <x v="379"/>
    <n v="31100"/>
    <n v="-600"/>
    <n v="-1.89"/>
    <n v="33350"/>
    <n v="33450"/>
    <n v="31100"/>
    <n v="594253"/>
    <n v="19075433750"/>
    <n v="472195374100"/>
    <n v="15183131"/>
  </r>
  <r>
    <x v="380"/>
    <n v="31050"/>
    <n v="-50"/>
    <n v="-0.16"/>
    <n v="31500"/>
    <n v="31550"/>
    <n v="29900"/>
    <n v="279807"/>
    <n v="8566940975"/>
    <n v="471436217550"/>
    <n v="15183131"/>
  </r>
  <r>
    <x v="381"/>
    <n v="29950"/>
    <n v="-1100"/>
    <n v="-3.54"/>
    <n v="30250"/>
    <n v="31100"/>
    <n v="29700"/>
    <n v="193115"/>
    <n v="5839767800"/>
    <n v="454734773450"/>
    <n v="15183131"/>
  </r>
  <r>
    <x v="382"/>
    <n v="30350"/>
    <n v="400"/>
    <n v="1.34"/>
    <n v="30250"/>
    <n v="31250"/>
    <n v="29800"/>
    <n v="304092"/>
    <n v="9286702275"/>
    <n v="460808025850"/>
    <n v="15183131"/>
  </r>
  <r>
    <x v="383"/>
    <n v="30300"/>
    <n v="-50"/>
    <n v="-0.16"/>
    <n v="30900"/>
    <n v="30950"/>
    <n v="29800"/>
    <n v="196839"/>
    <n v="5941313575"/>
    <n v="460048869300"/>
    <n v="15183131"/>
  </r>
  <r>
    <x v="384"/>
    <n v="29900"/>
    <n v="-400"/>
    <n v="-1.32"/>
    <n v="30600"/>
    <n v="30900"/>
    <n v="29800"/>
    <n v="188569"/>
    <n v="5700612850"/>
    <n v="453975616900"/>
    <n v="15183131"/>
  </r>
  <r>
    <x v="385"/>
    <n v="29450"/>
    <n v="-450"/>
    <n v="-1.51"/>
    <n v="30000"/>
    <n v="30100"/>
    <n v="29100"/>
    <n v="210760"/>
    <n v="6210589550"/>
    <n v="447143207950"/>
    <n v="15183131"/>
  </r>
  <r>
    <x v="386"/>
    <n v="29400"/>
    <n v="-50"/>
    <n v="-0.17"/>
    <n v="29250"/>
    <n v="29800"/>
    <n v="28250"/>
    <n v="227732"/>
    <n v="6599204050"/>
    <n v="446384051400"/>
    <n v="15183131"/>
  </r>
  <r>
    <x v="387"/>
    <n v="31050"/>
    <n v="1650"/>
    <n v="5.61"/>
    <n v="33050"/>
    <n v="33900"/>
    <n v="30550"/>
    <n v="1082734"/>
    <n v="34525418350"/>
    <n v="471436217550"/>
    <n v="15183131"/>
  </r>
  <r>
    <x v="388"/>
    <n v="33650"/>
    <n v="2600"/>
    <n v="8.369999999999999"/>
    <n v="31300"/>
    <n v="33850"/>
    <n v="31050"/>
    <n v="1164324"/>
    <n v="38272956350"/>
    <n v="510912358150"/>
    <n v="15183131"/>
  </r>
  <r>
    <x v="389"/>
    <n v="32800"/>
    <n v="-850"/>
    <n v="-2.53"/>
    <n v="33000"/>
    <n v="33850"/>
    <n v="31950"/>
    <n v="463244"/>
    <n v="15238062275"/>
    <n v="498006696800"/>
    <n v="15183131"/>
  </r>
  <r>
    <x v="390"/>
    <n v="30100"/>
    <n v="-2700"/>
    <n v="-8.23"/>
    <n v="31500"/>
    <n v="32050"/>
    <n v="28900"/>
    <n v="390860"/>
    <n v="11708318350"/>
    <n v="457012243100"/>
    <n v="15183131"/>
  </r>
  <r>
    <x v="391"/>
    <n v="28700"/>
    <n v="-1400"/>
    <n v="-4.65"/>
    <n v="31000"/>
    <n v="31100"/>
    <n v="27950"/>
    <n v="238213"/>
    <n v="6974026350"/>
    <n v="435755859700"/>
    <n v="15183131"/>
  </r>
  <r>
    <x v="392"/>
    <n v="27750"/>
    <n v="-950"/>
    <n v="-3.31"/>
    <n v="27350"/>
    <n v="29200"/>
    <n v="27050"/>
    <n v="173702"/>
    <n v="4845348250"/>
    <n v="421331885250"/>
    <n v="15183131"/>
  </r>
  <r>
    <x v="393"/>
    <n v="28400"/>
    <n v="650"/>
    <n v="2.34"/>
    <n v="28550"/>
    <n v="28550"/>
    <n v="27200"/>
    <n v="113937"/>
    <n v="3202398250"/>
    <n v="431200920400"/>
    <n v="15183131"/>
  </r>
  <r>
    <x v="394"/>
    <n v="28350"/>
    <n v="-50"/>
    <n v="-0.18"/>
    <n v="29150"/>
    <n v="29300"/>
    <n v="27900"/>
    <n v="155000"/>
    <n v="4445184500"/>
    <n v="430441763850"/>
    <n v="15183131"/>
  </r>
  <r>
    <x v="395"/>
    <n v="28950"/>
    <n v="600"/>
    <n v="2.12"/>
    <n v="29100"/>
    <n v="29250"/>
    <n v="28400"/>
    <n v="68219"/>
    <n v="1965556850"/>
    <n v="439551642450"/>
    <n v="15183131"/>
  </r>
  <r>
    <x v="396"/>
    <n v="29350"/>
    <n v="400"/>
    <n v="1.38"/>
    <n v="28750"/>
    <n v="29600"/>
    <n v="28150"/>
    <n v="99810"/>
    <n v="2891450475"/>
    <n v="445624894850"/>
    <n v="15183131"/>
  </r>
  <r>
    <x v="397"/>
    <n v="27550"/>
    <n v="-1800"/>
    <n v="-6.13"/>
    <n v="28300"/>
    <n v="28450"/>
    <n v="27550"/>
    <n v="91691"/>
    <n v="2568073700"/>
    <n v="418295259050"/>
    <n v="15183131"/>
  </r>
  <r>
    <x v="398"/>
    <n v="27250"/>
    <n v="-300"/>
    <n v="-1.09"/>
    <n v="27950"/>
    <n v="28250"/>
    <n v="27100"/>
    <n v="66003"/>
    <n v="1805213975"/>
    <n v="413740319750"/>
    <n v="15183131"/>
  </r>
  <r>
    <x v="399"/>
    <n v="25800"/>
    <n v="-1450"/>
    <n v="-5.32"/>
    <n v="26850"/>
    <n v="27200"/>
    <n v="25650"/>
    <n v="108358"/>
    <n v="2837615675"/>
    <n v="391724779800"/>
    <n v="15183131"/>
  </r>
  <r>
    <x v="400"/>
    <n v="27750"/>
    <n v="1950"/>
    <n v="7.56"/>
    <n v="30000"/>
    <n v="32000"/>
    <n v="27300"/>
    <n v="1303942"/>
    <n v="38802789800"/>
    <n v="421331885250"/>
    <n v="15183131"/>
  </r>
  <r>
    <x v="401"/>
    <n v="28250"/>
    <n v="500"/>
    <n v="1.8"/>
    <n v="29250"/>
    <n v="29350"/>
    <n v="28100"/>
    <n v="186034"/>
    <n v="5305213950"/>
    <n v="428923450750"/>
    <n v="15183131"/>
  </r>
  <r>
    <x v="402"/>
    <n v="29700"/>
    <n v="1450"/>
    <n v="5.13"/>
    <n v="26950"/>
    <n v="29950"/>
    <n v="26500"/>
    <n v="487098"/>
    <n v="14088195100"/>
    <n v="450938990700"/>
    <n v="15183131"/>
  </r>
  <r>
    <x v="403"/>
    <n v="28900"/>
    <n v="-800"/>
    <n v="-2.69"/>
    <n v="30100"/>
    <n v="30250"/>
    <n v="28700"/>
    <n v="222312"/>
    <n v="6549359700"/>
    <n v="438792485900"/>
    <n v="15183131"/>
  </r>
  <r>
    <x v="404"/>
    <n v="28000"/>
    <n v="-900"/>
    <n v="-3.11"/>
    <n v="29350"/>
    <n v="29400"/>
    <n v="27700"/>
    <n v="138794"/>
    <n v="3925196325"/>
    <n v="425127668000"/>
    <n v="15183131"/>
  </r>
  <r>
    <x v="405"/>
    <n v="28250"/>
    <n v="250"/>
    <n v="0.89"/>
    <n v="27900"/>
    <n v="28250"/>
    <n v="27400"/>
    <n v="100576"/>
    <n v="2804759175"/>
    <n v="428923450750"/>
    <n v="15183131"/>
  </r>
  <r>
    <x v="406"/>
    <n v="29200"/>
    <n v="950"/>
    <n v="3.36"/>
    <n v="28350"/>
    <n v="29350"/>
    <n v="28050"/>
    <n v="184845"/>
    <n v="5326222875"/>
    <n v="443347425200"/>
    <n v="15183131"/>
  </r>
  <r>
    <x v="407"/>
    <n v="31200"/>
    <n v="2000"/>
    <n v="6.85"/>
    <n v="30500"/>
    <n v="31200"/>
    <n v="29800"/>
    <n v="481456"/>
    <n v="14638231200"/>
    <n v="473713687200"/>
    <n v="15183131"/>
  </r>
  <r>
    <x v="408"/>
    <n v="30000"/>
    <n v="-1200"/>
    <n v="-3.85"/>
    <n v="31550"/>
    <n v="32050"/>
    <n v="29500"/>
    <n v="387754"/>
    <n v="11983740875"/>
    <n v="455493930000"/>
    <n v="15183131"/>
  </r>
  <r>
    <x v="409"/>
    <n v="31300"/>
    <n v="1300"/>
    <n v="4.33"/>
    <n v="30500"/>
    <n v="31600"/>
    <n v="29700"/>
    <n v="236196"/>
    <n v="7225505150"/>
    <n v="475232000300"/>
    <n v="15183131"/>
  </r>
  <r>
    <x v="410"/>
    <n v="32400"/>
    <n v="1100"/>
    <n v="3.51"/>
    <n v="32700"/>
    <n v="32950"/>
    <n v="31800"/>
    <n v="425134"/>
    <n v="13751151250"/>
    <n v="491933444400"/>
    <n v="15183131"/>
  </r>
  <r>
    <x v="411"/>
    <n v="32300"/>
    <n v="-100"/>
    <n v="-0.31"/>
    <n v="33650"/>
    <n v="34500"/>
    <n v="32000"/>
    <n v="592854"/>
    <n v="19617520200"/>
    <n v="490415131300"/>
    <n v="15183131"/>
  </r>
  <r>
    <x v="412"/>
    <n v="31250"/>
    <n v="-1050"/>
    <n v="-3.25"/>
    <n v="33000"/>
    <n v="33000"/>
    <n v="31050"/>
    <n v="389126"/>
    <n v="12432136475"/>
    <n v="474472843750"/>
    <n v="15183131"/>
  </r>
  <r>
    <x v="413"/>
    <n v="31800"/>
    <n v="550"/>
    <n v="1.76"/>
    <n v="31500"/>
    <n v="32400"/>
    <n v="30600"/>
    <n v="258236"/>
    <n v="8205775400"/>
    <n v="482823565800"/>
    <n v="15183131"/>
  </r>
  <r>
    <x v="414"/>
    <n v="31600"/>
    <n v="-200"/>
    <n v="-0.63"/>
    <n v="31400"/>
    <n v="32000"/>
    <n v="30950"/>
    <n v="146397"/>
    <n v="4594742800"/>
    <n v="479786939600"/>
    <n v="15183131"/>
  </r>
  <r>
    <x v="415"/>
    <n v="31300"/>
    <n v="-300"/>
    <n v="-0.95"/>
    <n v="31700"/>
    <n v="31900"/>
    <n v="31100"/>
    <n v="123437"/>
    <n v="3877906825"/>
    <n v="475232000300"/>
    <n v="15183131"/>
  </r>
  <r>
    <x v="416"/>
    <n v="31250"/>
    <n v="-50"/>
    <n v="-0.16"/>
    <n v="31600"/>
    <n v="32000"/>
    <n v="30750"/>
    <n v="187705"/>
    <n v="5888462100"/>
    <n v="474472843750"/>
    <n v="15183131"/>
  </r>
  <r>
    <x v="417"/>
    <n v="32850"/>
    <n v="1600"/>
    <n v="5.12"/>
    <n v="31300"/>
    <n v="32900"/>
    <n v="30800"/>
    <n v="392948"/>
    <n v="12622620750"/>
    <n v="498765853350"/>
    <n v="15183131"/>
  </r>
  <r>
    <x v="418"/>
    <n v="32600"/>
    <n v="-250"/>
    <n v="-0.76"/>
    <n v="32200"/>
    <n v="33550"/>
    <n v="31700"/>
    <n v="461128"/>
    <n v="15103812500"/>
    <n v="494970070600"/>
    <n v="15183131"/>
  </r>
  <r>
    <x v="419"/>
    <n v="31100"/>
    <n v="-1500"/>
    <n v="-4.6"/>
    <n v="32750"/>
    <n v="32750"/>
    <n v="31050"/>
    <n v="234613"/>
    <n v="7425514300"/>
    <n v="472195374100"/>
    <n v="15183131"/>
  </r>
  <r>
    <x v="420"/>
    <n v="30050"/>
    <n v="-1050"/>
    <n v="-3.38"/>
    <n v="31650"/>
    <n v="31650"/>
    <n v="29800"/>
    <n v="171496"/>
    <n v="5224130075"/>
    <n v="456253086550"/>
    <n v="15183131"/>
  </r>
  <r>
    <x v="421"/>
    <n v="30050"/>
    <n v="0"/>
    <n v="0"/>
    <n v="29200"/>
    <n v="30700"/>
    <n v="29100"/>
    <n v="126958"/>
    <n v="3805014775"/>
    <n v="456253086550"/>
    <n v="15183131"/>
  </r>
  <r>
    <x v="422"/>
    <n v="30600"/>
    <n v="550"/>
    <n v="1.83"/>
    <n v="30500"/>
    <n v="30650"/>
    <n v="29200"/>
    <n v="130087"/>
    <n v="3906604575"/>
    <n v="464603808600"/>
    <n v="15183131"/>
  </r>
  <r>
    <x v="423"/>
    <n v="32100"/>
    <n v="1500"/>
    <n v="4.9"/>
    <n v="31600"/>
    <n v="33050"/>
    <n v="30700"/>
    <n v="393554"/>
    <n v="12651401625"/>
    <n v="487378505100"/>
    <n v="15183131"/>
  </r>
  <r>
    <x v="424"/>
    <n v="30950"/>
    <n v="-1150"/>
    <n v="-3.58"/>
    <n v="32200"/>
    <n v="33000"/>
    <n v="30750"/>
    <n v="301582"/>
    <n v="9575175700"/>
    <n v="469917904450"/>
    <n v="15183131"/>
  </r>
  <r>
    <x v="425"/>
    <n v="30050"/>
    <n v="-900"/>
    <n v="-2.91"/>
    <n v="31150"/>
    <n v="31150"/>
    <n v="29900"/>
    <n v="163463"/>
    <n v="4959288500"/>
    <n v="456253086550"/>
    <n v="15183131"/>
  </r>
  <r>
    <x v="426"/>
    <n v="30400"/>
    <n v="350"/>
    <n v="1.16"/>
    <n v="30550"/>
    <n v="30600"/>
    <n v="29800"/>
    <n v="133765"/>
    <n v="4039301875"/>
    <n v="462628811200"/>
    <n v="15218053"/>
  </r>
  <r>
    <x v="427"/>
    <n v="32750"/>
    <n v="2350"/>
    <n v="7.73"/>
    <n v="30700"/>
    <n v="33000"/>
    <n v="30550"/>
    <n v="490670"/>
    <n v="15859987850"/>
    <n v="498391235750"/>
    <n v="15218053"/>
  </r>
  <r>
    <x v="428"/>
    <n v="30650"/>
    <n v="-2100"/>
    <n v="-6.41"/>
    <n v="33200"/>
    <n v="33250"/>
    <n v="30600"/>
    <n v="352154"/>
    <n v="11073799275"/>
    <n v="466433324450"/>
    <n v="15218053"/>
  </r>
  <r>
    <x v="429"/>
    <n v="31300"/>
    <n v="650"/>
    <n v="2.12"/>
    <n v="30700"/>
    <n v="31700"/>
    <n v="30300"/>
    <n v="186369"/>
    <n v="5809708275"/>
    <n v="476325058900"/>
    <n v="15218053"/>
  </r>
  <r>
    <x v="430"/>
    <n v="31350"/>
    <n v="50"/>
    <n v="0.16"/>
    <n v="31100"/>
    <n v="31450"/>
    <n v="30150"/>
    <n v="176320"/>
    <n v="5447317200"/>
    <n v="477085961550"/>
    <n v="15218053"/>
  </r>
  <r>
    <x v="431"/>
    <n v="30500"/>
    <n v="-850"/>
    <n v="-2.71"/>
    <n v="31600"/>
    <n v="31700"/>
    <n v="30300"/>
    <n v="191543"/>
    <n v="5893380600"/>
    <n v="464150616500"/>
    <n v="15218053"/>
  </r>
  <r>
    <x v="432"/>
    <n v="30300"/>
    <n v="-200"/>
    <n v="-0.66"/>
    <n v="30750"/>
    <n v="30950"/>
    <n v="30000"/>
    <n v="191049"/>
    <n v="5818922000"/>
    <n v="461107005900"/>
    <n v="15218053"/>
  </r>
  <r>
    <x v="433"/>
    <n v="29300"/>
    <n v="-1000"/>
    <n v="-3.3"/>
    <n v="30550"/>
    <n v="30550"/>
    <n v="29250"/>
    <n v="173011"/>
    <n v="5114546425"/>
    <n v="445888952900"/>
    <n v="15218053"/>
  </r>
  <r>
    <x v="434"/>
    <n v="28850"/>
    <n v="-450"/>
    <n v="-1.54"/>
    <n v="29650"/>
    <n v="29650"/>
    <n v="28400"/>
    <n v="145393"/>
    <n v="4184776475"/>
    <n v="439040829050"/>
    <n v="15218053"/>
  </r>
  <r>
    <x v="435"/>
    <n v="29100"/>
    <n v="250"/>
    <n v="0.87"/>
    <n v="29000"/>
    <n v="29300"/>
    <n v="28600"/>
    <n v="119684"/>
    <n v="3462114300"/>
    <n v="442845342300"/>
    <n v="15218053"/>
  </r>
  <r>
    <x v="436"/>
    <n v="30350"/>
    <n v="1250"/>
    <n v="4.3"/>
    <n v="29750"/>
    <n v="30400"/>
    <n v="29400"/>
    <n v="191364"/>
    <n v="5719962975"/>
    <n v="461867908550"/>
    <n v="15218053"/>
  </r>
  <r>
    <x v="437"/>
    <n v="31450"/>
    <n v="1100"/>
    <n v="3.62"/>
    <n v="31300"/>
    <n v="32350"/>
    <n v="30550"/>
    <n v="402633"/>
    <n v="12663628275"/>
    <n v="478607766850"/>
    <n v="15218053"/>
  </r>
  <r>
    <x v="438"/>
    <n v="37500"/>
    <n v="6050"/>
    <n v="19.24"/>
    <n v="31100"/>
    <n v="37700"/>
    <n v="30900"/>
    <n v="3005549"/>
    <n v="106846041150"/>
    <n v="570676987500"/>
    <n v="15218053"/>
  </r>
  <r>
    <x v="439"/>
    <n v="34600"/>
    <n v="-2900"/>
    <n v="-7.73"/>
    <n v="36300"/>
    <n v="36900"/>
    <n v="34250"/>
    <n v="1252809"/>
    <n v="44650402025"/>
    <n v="526544633800"/>
    <n v="15218053"/>
  </r>
  <r>
    <x v="440"/>
    <n v="36500"/>
    <n v="1900"/>
    <n v="5.49"/>
    <n v="35700"/>
    <n v="36750"/>
    <n v="35250"/>
    <n v="1018205"/>
    <n v="36828739450"/>
    <n v="555458934500"/>
    <n v="15218053"/>
  </r>
  <r>
    <x v="441"/>
    <n v="36600"/>
    <n v="100"/>
    <n v="0.27"/>
    <n v="38200"/>
    <n v="39550"/>
    <n v="33300"/>
    <n v="1394176"/>
    <n v="50559479075"/>
    <n v="556980739800"/>
    <n v="15218053"/>
  </r>
  <r>
    <x v="442"/>
    <n v="38750"/>
    <n v="2150"/>
    <n v="5.87"/>
    <n v="34750"/>
    <n v="41400"/>
    <n v="34650"/>
    <n v="1991389"/>
    <n v="77080214600"/>
    <n v="589699553750"/>
    <n v="15218053"/>
  </r>
  <r>
    <x v="443"/>
    <n v="38700"/>
    <n v="-50"/>
    <n v="-0.13"/>
    <n v="43100"/>
    <n v="43950"/>
    <n v="37800"/>
    <n v="1393136"/>
    <n v="55922300750"/>
    <n v="588938651100"/>
    <n v="15218053"/>
  </r>
  <r>
    <x v="444"/>
    <n v="36800"/>
    <n v="-1900"/>
    <n v="-4.91"/>
    <n v="38900"/>
    <n v="39500"/>
    <n v="36650"/>
    <n v="594722"/>
    <n v="22698018325"/>
    <n v="560024350400"/>
    <n v="15218053"/>
  </r>
  <r>
    <x v="445"/>
    <n v="39500"/>
    <n v="2700"/>
    <n v="7.34"/>
    <n v="35800"/>
    <n v="39650"/>
    <n v="35400"/>
    <n v="876626"/>
    <n v="33606994775"/>
    <n v="601113093500"/>
    <n v="15218053"/>
  </r>
  <r>
    <x v="446"/>
    <n v="38150"/>
    <n v="-1350"/>
    <n v="-3.42"/>
    <n v="38300"/>
    <n v="39000"/>
    <n v="37300"/>
    <n v="364202"/>
    <n v="13843561150"/>
    <n v="580568721950"/>
    <n v="15218053"/>
  </r>
  <r>
    <x v="447"/>
    <n v="38200"/>
    <n v="50"/>
    <n v="0.13"/>
    <n v="38950"/>
    <n v="39300"/>
    <n v="37700"/>
    <n v="501139"/>
    <n v="19320820075"/>
    <n v="581329624600"/>
    <n v="15218053"/>
  </r>
  <r>
    <x v="448"/>
    <n v="37350"/>
    <n v="-850"/>
    <n v="-2.23"/>
    <n v="37800"/>
    <n v="37800"/>
    <n v="36050"/>
    <n v="415039"/>
    <n v="15347189775"/>
    <n v="568394279550"/>
    <n v="15218053"/>
  </r>
  <r>
    <x v="449"/>
    <n v="37200"/>
    <n v="-150"/>
    <n v="-0.4"/>
    <n v="38100"/>
    <n v="38550"/>
    <n v="36750"/>
    <n v="339515"/>
    <n v="12800952800"/>
    <n v="566111571600"/>
    <n v="15218053"/>
  </r>
  <r>
    <x v="450"/>
    <n v="35200"/>
    <n v="-2000"/>
    <n v="-5.38"/>
    <n v="36200"/>
    <n v="38050"/>
    <n v="35000"/>
    <n v="263772"/>
    <n v="9607480175"/>
    <n v="535675465600"/>
    <n v="15218053"/>
  </r>
  <r>
    <x v="451"/>
    <n v="36750"/>
    <n v="1550"/>
    <n v="4.4"/>
    <n v="36150"/>
    <n v="37350"/>
    <n v="35450"/>
    <n v="197161"/>
    <n v="7189798475"/>
    <n v="559263447750"/>
    <n v="15218053"/>
  </r>
  <r>
    <x v="452"/>
    <n v="37200"/>
    <n v="450"/>
    <n v="1.22"/>
    <n v="37000"/>
    <n v="37300"/>
    <n v="36400"/>
    <n v="176150"/>
    <n v="6478017850"/>
    <n v="566111571600"/>
    <n v="15218053"/>
  </r>
  <r>
    <x v="453"/>
    <n v="35350"/>
    <n v="-1850"/>
    <n v="-4.97"/>
    <n v="36800"/>
    <n v="36800"/>
    <n v="35000"/>
    <n v="167560"/>
    <n v="6000720425"/>
    <n v="537958173550"/>
    <n v="15218053"/>
  </r>
  <r>
    <x v="454"/>
    <n v="33300"/>
    <n v="-2050"/>
    <n v="-5.8"/>
    <n v="33800"/>
    <n v="34300"/>
    <n v="32400"/>
    <n v="194117"/>
    <n v="6454335325"/>
    <n v="506761164900"/>
    <n v="15218053"/>
  </r>
  <r>
    <x v="455"/>
    <n v="34400"/>
    <n v="1100"/>
    <n v="3.3"/>
    <n v="34700"/>
    <n v="34800"/>
    <n v="33800"/>
    <n v="108716"/>
    <n v="3739531550"/>
    <n v="523501023200"/>
    <n v="15218053"/>
  </r>
  <r>
    <x v="456"/>
    <n v="34700"/>
    <n v="300"/>
    <n v="0.87"/>
    <n v="36000"/>
    <n v="36200"/>
    <n v="34600"/>
    <n v="116591"/>
    <n v="4091792175"/>
    <n v="528066439100"/>
    <n v="15218053"/>
  </r>
  <r>
    <x v="457"/>
    <n v="34900"/>
    <n v="200"/>
    <n v="0.58"/>
    <n v="34850"/>
    <n v="35300"/>
    <n v="33650"/>
    <n v="128476"/>
    <n v="4450329400"/>
    <n v="531110049700"/>
    <n v="15218053"/>
  </r>
  <r>
    <x v="458"/>
    <n v="35650"/>
    <n v="750"/>
    <n v="2.15"/>
    <n v="36600"/>
    <n v="36700"/>
    <n v="35250"/>
    <n v="165562"/>
    <n v="5942391500"/>
    <n v="542523589450"/>
    <n v="15218053"/>
  </r>
  <r>
    <x v="459"/>
    <n v="35000"/>
    <n v="-650"/>
    <n v="-1.82"/>
    <n v="34650"/>
    <n v="35500"/>
    <n v="34300"/>
    <n v="90103"/>
    <n v="3137320125"/>
    <n v="532631855000"/>
    <n v="15218053"/>
  </r>
  <r>
    <x v="460"/>
    <n v="35100"/>
    <n v="100"/>
    <n v="0.29"/>
    <n v="35200"/>
    <n v="35450"/>
    <n v="34050"/>
    <n v="140662"/>
    <n v="4878963625"/>
    <n v="534153660300"/>
    <n v="15218053"/>
  </r>
  <r>
    <x v="461"/>
    <n v="34200"/>
    <n v="-900"/>
    <n v="-2.56"/>
    <n v="35300"/>
    <n v="35350"/>
    <n v="33000"/>
    <n v="98425"/>
    <n v="3382096275"/>
    <n v="520457412600"/>
    <n v="15218053"/>
  </r>
  <r>
    <x v="462"/>
    <n v="33400"/>
    <n v="-800"/>
    <n v="-2.34"/>
    <n v="34450"/>
    <n v="34650"/>
    <n v="33200"/>
    <n v="132526"/>
    <n v="4476893750"/>
    <n v="508282970200"/>
    <n v="15218053"/>
  </r>
  <r>
    <x v="463"/>
    <n v="34300"/>
    <n v="900"/>
    <n v="2.69"/>
    <n v="33200"/>
    <n v="34500"/>
    <n v="32800"/>
    <n v="121610"/>
    <n v="4102276650"/>
    <n v="521979217900"/>
    <n v="15218053"/>
  </r>
  <r>
    <x v="464"/>
    <n v="35000"/>
    <n v="700"/>
    <n v="2.04"/>
    <n v="35050"/>
    <n v="35150"/>
    <n v="34150"/>
    <n v="134130"/>
    <n v="4672557675"/>
    <n v="532631855000"/>
    <n v="15218053"/>
  </r>
  <r>
    <x v="465"/>
    <n v="35200"/>
    <n v="200"/>
    <n v="0.57"/>
    <n v="35650"/>
    <n v="36500"/>
    <n v="35100"/>
    <n v="258775"/>
    <n v="9273949375"/>
    <n v="535675465600"/>
    <n v="15218053"/>
  </r>
  <r>
    <x v="466"/>
    <n v="34450"/>
    <n v="-750"/>
    <n v="-2.13"/>
    <n v="34900"/>
    <n v="34950"/>
    <n v="34050"/>
    <n v="117128"/>
    <n v="4036251200"/>
    <n v="524261925850"/>
    <n v="15218053"/>
  </r>
  <r>
    <x v="467"/>
    <n v="30800"/>
    <n v="-3650"/>
    <n v="-10.6"/>
    <n v="33050"/>
    <n v="33800"/>
    <n v="30800"/>
    <n v="211558"/>
    <n v="6830555675"/>
    <n v="468716032400"/>
    <n v="15218053"/>
  </r>
  <r>
    <x v="468"/>
    <n v="25600"/>
    <n v="-5200"/>
    <n v="-16.88"/>
    <n v="28000"/>
    <n v="29200"/>
    <n v="24800"/>
    <n v="307171"/>
    <n v="8287388425"/>
    <n v="389582156800"/>
    <n v="15218053"/>
  </r>
  <r>
    <x v="469"/>
    <n v="28100"/>
    <n v="2500"/>
    <n v="9.77"/>
    <n v="27200"/>
    <n v="28800"/>
    <n v="27200"/>
    <n v="140210"/>
    <n v="3962650475"/>
    <n v="427627289300"/>
    <n v="15218053"/>
  </r>
  <r>
    <x v="470"/>
    <n v="29050"/>
    <n v="950"/>
    <n v="3.38"/>
    <n v="28350"/>
    <n v="30275"/>
    <n v="27800"/>
    <n v="144174"/>
    <n v="4175680350"/>
    <n v="442084439650"/>
    <n v="15218053"/>
  </r>
  <r>
    <x v="471"/>
    <n v="26800"/>
    <n v="-2250"/>
    <n v="-7.75"/>
    <n v="26800"/>
    <n v="27600"/>
    <n v="25550"/>
    <n v="120146"/>
    <n v="3178124900"/>
    <n v="407843820400"/>
    <n v="15218053"/>
  </r>
  <r>
    <x v="472"/>
    <n v="27900"/>
    <n v="1100"/>
    <n v="4.1"/>
    <n v="28200"/>
    <n v="28500"/>
    <n v="27650"/>
    <n v="80162"/>
    <n v="2250233075"/>
    <n v="424583678700"/>
    <n v="15218053"/>
  </r>
  <r>
    <x v="473"/>
    <n v="29150"/>
    <n v="1250"/>
    <n v="4.48"/>
    <n v="29150"/>
    <n v="29700"/>
    <n v="28500"/>
    <n v="112702"/>
    <n v="3280430425"/>
    <n v="443606244950"/>
    <n v="15218053"/>
  </r>
  <r>
    <x v="474"/>
    <n v="28700"/>
    <n v="-450"/>
    <n v="-1.54"/>
    <n v="28700"/>
    <n v="29000"/>
    <n v="28100"/>
    <n v="58833"/>
    <n v="1679973425"/>
    <n v="436758121100"/>
    <n v="15218053"/>
  </r>
  <r>
    <x v="475"/>
    <n v="28250"/>
    <n v="-450"/>
    <n v="-1.57"/>
    <n v="27700"/>
    <n v="28800"/>
    <n v="27100"/>
    <n v="152111"/>
    <n v="4307200800"/>
    <n v="429909997250"/>
    <n v="15218053"/>
  </r>
  <r>
    <x v="476"/>
    <n v="27400"/>
    <n v="-850"/>
    <n v="-3.01"/>
    <n v="28000"/>
    <n v="28450"/>
    <n v="27100"/>
    <n v="58411"/>
    <n v="1615295650"/>
    <n v="417771389400"/>
    <n v="15247131"/>
  </r>
  <r>
    <x v="477"/>
    <n v="27700"/>
    <n v="300"/>
    <n v="1.09"/>
    <n v="27950"/>
    <n v="28450"/>
    <n v="27650"/>
    <n v="48313"/>
    <n v="1354603700"/>
    <n v="422345528700"/>
    <n v="15247131"/>
  </r>
  <r>
    <x v="478"/>
    <n v="28300"/>
    <n v="600"/>
    <n v="2.17"/>
    <n v="28050"/>
    <n v="28700"/>
    <n v="28050"/>
    <n v="48327"/>
    <n v="1364590350"/>
    <n v="431493807300"/>
    <n v="15247131"/>
  </r>
  <r>
    <x v="479"/>
    <n v="27550"/>
    <n v="-750"/>
    <n v="-2.65"/>
    <n v="27700"/>
    <n v="27850"/>
    <n v="27400"/>
    <n v="35956"/>
    <n v="992547925"/>
    <n v="420058459050"/>
    <n v="15247131"/>
  </r>
  <r>
    <x v="480"/>
    <n v="27600"/>
    <n v="50"/>
    <n v="0.18"/>
    <n v="27900"/>
    <n v="27950"/>
    <n v="27200"/>
    <n v="44392"/>
    <n v="1226362225"/>
    <n v="420820815600"/>
    <n v="15247131"/>
  </r>
  <r>
    <x v="481"/>
    <n v="25850"/>
    <n v="-1750"/>
    <n v="-6.34"/>
    <n v="26500"/>
    <n v="26750"/>
    <n v="25850"/>
    <n v="72663"/>
    <n v="1902912625"/>
    <n v="394138336350"/>
    <n v="15247131"/>
  </r>
  <r>
    <x v="482"/>
    <n v="26650"/>
    <n v="800"/>
    <n v="3.09"/>
    <n v="26800"/>
    <n v="27000"/>
    <n v="25600"/>
    <n v="42561"/>
    <n v="1115423775"/>
    <n v="406336041150"/>
    <n v="15247131"/>
  </r>
  <r>
    <x v="483"/>
    <n v="27650"/>
    <n v="1000"/>
    <n v="3.75"/>
    <n v="27100"/>
    <n v="27800"/>
    <n v="26950"/>
    <n v="35821"/>
    <n v="983782950"/>
    <n v="421583172150"/>
    <n v="15247131"/>
  </r>
  <r>
    <x v="484"/>
    <n v="26700"/>
    <n v="-950"/>
    <n v="-3.44"/>
    <n v="27700"/>
    <n v="27700"/>
    <n v="26500"/>
    <n v="35232"/>
    <n v="950390575"/>
    <n v="407098397700"/>
    <n v="15247131"/>
  </r>
  <r>
    <x v="485"/>
    <n v="26800"/>
    <n v="100"/>
    <n v="0.37"/>
    <n v="25900"/>
    <n v="26900"/>
    <n v="25100"/>
    <n v="41306"/>
    <n v="1078248225"/>
    <n v="408623110800"/>
    <n v="15247131"/>
  </r>
  <r>
    <x v="486"/>
    <n v="25700"/>
    <n v="-1100"/>
    <n v="-4.1"/>
    <n v="25550"/>
    <n v="26150"/>
    <n v="25300"/>
    <n v="32667"/>
    <n v="837870625"/>
    <n v="391851266700"/>
    <n v="15247131"/>
  </r>
  <r>
    <x v="487"/>
    <n v="24800"/>
    <n v="-900"/>
    <n v="-3.5"/>
    <n v="25750"/>
    <n v="26000"/>
    <n v="24800"/>
    <n v="54626"/>
    <n v="1383642200"/>
    <n v="378128848800"/>
    <n v="15247131"/>
  </r>
  <r>
    <x v="488"/>
    <n v="26600"/>
    <n v="1800"/>
    <n v="7.26"/>
    <n v="25550"/>
    <n v="26950"/>
    <n v="25550"/>
    <n v="47970"/>
    <n v="1264050450"/>
    <n v="405573684600"/>
    <n v="15247131"/>
  </r>
  <r>
    <x v="489"/>
    <n v="25700"/>
    <n v="-900"/>
    <n v="-3.38"/>
    <n v="28050"/>
    <n v="28050"/>
    <n v="25300"/>
    <n v="95398"/>
    <n v="2560999075"/>
    <n v="391851266700"/>
    <n v="15247131"/>
  </r>
  <r>
    <x v="490"/>
    <n v="25700"/>
    <n v="0"/>
    <n v="0"/>
    <n v="26400"/>
    <n v="26700"/>
    <n v="25400"/>
    <n v="35271"/>
    <n v="911056975"/>
    <n v="391851266700"/>
    <n v="15247131"/>
  </r>
  <r>
    <x v="491"/>
    <n v="25300"/>
    <n v="-400"/>
    <n v="-1.56"/>
    <n v="25800"/>
    <n v="25800"/>
    <n v="25150"/>
    <n v="28306"/>
    <n v="719674650"/>
    <n v="385752414300"/>
    <n v="15247131"/>
  </r>
  <r>
    <x v="492"/>
    <n v="25400"/>
    <n v="100"/>
    <n v="0.4"/>
    <n v="26000"/>
    <n v="26150"/>
    <n v="25100"/>
    <n v="29406"/>
    <n v="751308325"/>
    <n v="387277127400"/>
    <n v="15247131"/>
  </r>
  <r>
    <x v="493"/>
    <n v="27250"/>
    <n v="1850"/>
    <n v="7.28"/>
    <n v="26450"/>
    <n v="27250"/>
    <n v="26300"/>
    <n v="51646"/>
    <n v="1383087575"/>
    <n v="415484319750"/>
    <n v="15247131"/>
  </r>
  <r>
    <x v="494"/>
    <n v="28000"/>
    <n v="750"/>
    <n v="2.75"/>
    <n v="26950"/>
    <n v="28200"/>
    <n v="26350"/>
    <n v="123390"/>
    <n v="3424330400"/>
    <n v="426919668000"/>
    <n v="15247131"/>
  </r>
  <r>
    <x v="495"/>
    <n v="27400"/>
    <n v="-600"/>
    <n v="-2.14"/>
    <n v="28200"/>
    <n v="28300"/>
    <n v="27150"/>
    <n v="43203"/>
    <n v="1183272075"/>
    <n v="417771389400"/>
    <n v="15247131"/>
  </r>
  <r>
    <x v="496"/>
    <n v="26650"/>
    <n v="-750"/>
    <n v="-2.74"/>
    <n v="26550"/>
    <n v="26800"/>
    <n v="26400"/>
    <n v="22933"/>
    <n v="609663525"/>
    <n v="406336041150"/>
    <n v="15247131"/>
  </r>
  <r>
    <x v="497"/>
    <n v="27650"/>
    <n v="1000"/>
    <n v="3.75"/>
    <n v="27250"/>
    <n v="27750"/>
    <n v="27050"/>
    <n v="48333"/>
    <n v="1328843500"/>
    <n v="421583172150"/>
    <n v="15247131"/>
  </r>
  <r>
    <x v="498"/>
    <n v="28300"/>
    <n v="650"/>
    <n v="2.35"/>
    <n v="28300"/>
    <n v="28350"/>
    <n v="27900"/>
    <n v="50851"/>
    <n v="1429829475"/>
    <n v="431493807300"/>
    <n v="15247131"/>
  </r>
  <r>
    <x v="499"/>
    <n v="28800"/>
    <n v="500"/>
    <n v="1.77"/>
    <n v="28800"/>
    <n v="29150"/>
    <n v="28500"/>
    <n v="56430"/>
    <n v="1623831500"/>
    <n v="439117372800"/>
    <n v="15247131"/>
  </r>
  <r>
    <x v="500"/>
    <n v="29150"/>
    <n v="350"/>
    <n v="1.22"/>
    <n v="29600"/>
    <n v="29600"/>
    <n v="28800"/>
    <n v="47757"/>
    <n v="1386890175"/>
    <n v="444453868650"/>
    <n v="15247131"/>
  </r>
  <r>
    <x v="501"/>
    <n v="28700"/>
    <n v="-450"/>
    <n v="-1.54"/>
    <n v="28750"/>
    <n v="29300"/>
    <n v="28550"/>
    <n v="32495"/>
    <n v="940173275"/>
    <n v="437592659700"/>
    <n v="15247131"/>
  </r>
  <r>
    <x v="502"/>
    <n v="28850"/>
    <n v="150"/>
    <n v="0.52"/>
    <n v="29050"/>
    <n v="29150"/>
    <n v="28650"/>
    <n v="31375"/>
    <n v="903779875"/>
    <n v="439879729350"/>
    <n v="15247131"/>
  </r>
  <r>
    <x v="503"/>
    <n v="28900"/>
    <n v="50"/>
    <n v="0.17"/>
    <n v="28800"/>
    <n v="28950"/>
    <n v="28150"/>
    <n v="32668"/>
    <n v="933713600"/>
    <n v="440642085900"/>
    <n v="15247131"/>
  </r>
  <r>
    <x v="504"/>
    <n v="28650"/>
    <n v="-250"/>
    <n v="-0.87"/>
    <n v="29500"/>
    <n v="29500"/>
    <n v="28250"/>
    <n v="39579"/>
    <n v="1139144000"/>
    <n v="436830303150"/>
    <n v="15247131"/>
  </r>
  <r>
    <x v="505"/>
    <n v="29050"/>
    <n v="400"/>
    <n v="1.4"/>
    <n v="28500"/>
    <n v="29600"/>
    <n v="28200"/>
    <n v="58103"/>
    <n v="1683019500"/>
    <n v="442929155550"/>
    <n v="15247131"/>
  </r>
  <r>
    <x v="506"/>
    <n v="30050"/>
    <n v="1000"/>
    <n v="3.44"/>
    <n v="29650"/>
    <n v="30250"/>
    <n v="29250"/>
    <n v="136839"/>
    <n v="4093272750"/>
    <n v="458176286550"/>
    <n v="15247131"/>
  </r>
  <r>
    <x v="507"/>
    <n v="29900"/>
    <n v="-150"/>
    <n v="-0.5"/>
    <n v="30800"/>
    <n v="30950"/>
    <n v="29650"/>
    <n v="80964"/>
    <n v="2438565750"/>
    <n v="455889216900"/>
    <n v="15247131"/>
  </r>
  <r>
    <x v="508"/>
    <n v="30350"/>
    <n v="450"/>
    <n v="1.51"/>
    <n v="30400"/>
    <n v="30600"/>
    <n v="29900"/>
    <n v="75759"/>
    <n v="2291132900"/>
    <n v="462750425850"/>
    <n v="15247131"/>
  </r>
  <r>
    <x v="509"/>
    <n v="30350"/>
    <n v="0"/>
    <n v="0"/>
    <n v="32050"/>
    <n v="32200"/>
    <n v="30000"/>
    <n v="169971"/>
    <n v="5243939875"/>
    <n v="462750425850"/>
    <n v="15247131"/>
  </r>
  <r>
    <x v="510"/>
    <n v="30200"/>
    <n v="-150"/>
    <n v="-0.49"/>
    <n v="31100"/>
    <n v="31100"/>
    <n v="30000"/>
    <n v="68064"/>
    <n v="2067753800"/>
    <n v="460463356200"/>
    <n v="15247131"/>
  </r>
  <r>
    <x v="511"/>
    <n v="29150"/>
    <n v="-1050"/>
    <n v="-3.48"/>
    <n v="30050"/>
    <n v="30050"/>
    <n v="29000"/>
    <n v="91661"/>
    <n v="2680070625"/>
    <n v="444453868650"/>
    <n v="15247131"/>
  </r>
  <r>
    <x v="512"/>
    <n v="28500"/>
    <n v="-650"/>
    <n v="-2.23"/>
    <n v="29150"/>
    <n v="29250"/>
    <n v="28200"/>
    <n v="54359"/>
    <n v="1552597800"/>
    <n v="434543233500"/>
    <n v="15247131"/>
  </r>
  <r>
    <x v="513"/>
    <n v="29000"/>
    <n v="500"/>
    <n v="1.75"/>
    <n v="29450"/>
    <n v="29950"/>
    <n v="28800"/>
    <n v="106633"/>
    <n v="3121419150"/>
    <n v="442166799000"/>
    <n v="15247131"/>
  </r>
  <r>
    <x v="514"/>
    <n v="28500"/>
    <n v="-500"/>
    <n v="-1.72"/>
    <n v="29300"/>
    <n v="29350"/>
    <n v="28000"/>
    <n v="89846"/>
    <n v="2578169900"/>
    <n v="434543233500"/>
    <n v="15247131"/>
  </r>
  <r>
    <x v="515"/>
    <n v="28250"/>
    <n v="-250"/>
    <n v="-0.88"/>
    <n v="29200"/>
    <n v="30250"/>
    <n v="27450"/>
    <n v="177469"/>
    <n v="5159606100"/>
    <n v="430731450750"/>
    <n v="15247131"/>
  </r>
  <r>
    <x v="516"/>
    <n v="29000"/>
    <n v="750"/>
    <n v="2.65"/>
    <n v="28750"/>
    <n v="29650"/>
    <n v="28000"/>
    <n v="81658"/>
    <n v="2357173600"/>
    <n v="442166799000"/>
    <n v="15247131"/>
  </r>
  <r>
    <x v="517"/>
    <n v="29950"/>
    <n v="950"/>
    <n v="3.28"/>
    <n v="30050"/>
    <n v="30475"/>
    <n v="29100"/>
    <n v="125737"/>
    <n v="3732682300"/>
    <n v="456651573450"/>
    <n v="15247131"/>
  </r>
  <r>
    <x v="518"/>
    <n v="29750"/>
    <n v="-200"/>
    <n v="-0.67"/>
    <n v="30700"/>
    <n v="31800"/>
    <n v="28800"/>
    <n v="351946"/>
    <n v="10834110325"/>
    <n v="453602147250"/>
    <n v="15247131"/>
  </r>
  <r>
    <x v="519"/>
    <n v="29000"/>
    <n v="-750"/>
    <n v="-2.52"/>
    <n v="30350"/>
    <n v="30500"/>
    <n v="28300"/>
    <n v="99966"/>
    <n v="2919061425"/>
    <n v="443753099000"/>
    <n v="15301831"/>
  </r>
  <r>
    <x v="520"/>
    <n v="26800"/>
    <n v="-2200"/>
    <n v="-7.59"/>
    <n v="28350"/>
    <n v="28650"/>
    <n v="26250"/>
    <n v="96065"/>
    <n v="2597026150"/>
    <n v="410089070800"/>
    <n v="15301831"/>
  </r>
  <r>
    <x v="521"/>
    <n v="25200"/>
    <n v="-1600"/>
    <n v="-5.97"/>
    <n v="26450"/>
    <n v="26500"/>
    <n v="24600"/>
    <n v="79131"/>
    <n v="1985447150"/>
    <n v="385606141200"/>
    <n v="15301831"/>
  </r>
  <r>
    <x v="522"/>
    <n v="27850"/>
    <n v="2650"/>
    <n v="10.52"/>
    <n v="25750"/>
    <n v="28400"/>
    <n v="25750"/>
    <n v="81704"/>
    <n v="2234782600"/>
    <n v="426155993350"/>
    <n v="15301831"/>
  </r>
  <r>
    <x v="523"/>
    <n v="28100"/>
    <n v="250"/>
    <n v="0.9"/>
    <n v="28400"/>
    <n v="28850"/>
    <n v="27400"/>
    <n v="57803"/>
    <n v="1622476750"/>
    <n v="429981451100"/>
    <n v="15301831"/>
  </r>
  <r>
    <x v="524"/>
    <n v="27400"/>
    <n v="-700"/>
    <n v="-2.49"/>
    <n v="28650"/>
    <n v="28800"/>
    <n v="27400"/>
    <n v="64316"/>
    <n v="1793929975"/>
    <n v="419270169400"/>
    <n v="15301831"/>
  </r>
  <r>
    <x v="525"/>
    <n v="25850"/>
    <n v="-1550"/>
    <n v="-5.66"/>
    <n v="27200"/>
    <n v="27250"/>
    <n v="25750"/>
    <n v="74143"/>
    <n v="1947406250"/>
    <n v="395552331350"/>
    <n v="15301831"/>
  </r>
  <r>
    <x v="526"/>
    <n v="25450"/>
    <n v="-400"/>
    <n v="-1.55"/>
    <n v="26400"/>
    <n v="27050"/>
    <n v="24500"/>
    <n v="55294"/>
    <n v="1406483750"/>
    <n v="389431598950"/>
    <n v="15301831"/>
  </r>
  <r>
    <x v="527"/>
    <n v="25900"/>
    <n v="450"/>
    <n v="1.77"/>
    <n v="26050"/>
    <n v="26600"/>
    <n v="24800"/>
    <n v="109049"/>
    <n v="2800889225"/>
    <n v="396317422900"/>
    <n v="15301831"/>
  </r>
  <r>
    <x v="528"/>
    <n v="31600"/>
    <n v="5700"/>
    <n v="22.01"/>
    <n v="28400"/>
    <n v="32300"/>
    <n v="28200"/>
    <n v="1008729"/>
    <n v="30913715625"/>
    <n v="483537859600"/>
    <n v="15301831"/>
  </r>
  <r>
    <x v="529"/>
    <n v="29300"/>
    <n v="-2300"/>
    <n v="-7.28"/>
    <n v="31100"/>
    <n v="32700"/>
    <n v="28200"/>
    <n v="394930"/>
    <n v="11730052025"/>
    <n v="448343648300"/>
    <n v="15301831"/>
  </r>
  <r>
    <x v="530"/>
    <n v="27200"/>
    <n v="-2100"/>
    <n v="-7.17"/>
    <n v="27750"/>
    <n v="27900"/>
    <n v="26450"/>
    <n v="100515"/>
    <n v="2730368350"/>
    <n v="416209803200"/>
    <n v="15301831"/>
  </r>
  <r>
    <x v="531"/>
    <n v="26400"/>
    <n v="-800"/>
    <n v="-2.94"/>
    <n v="26900"/>
    <n v="27050"/>
    <n v="25200"/>
    <n v="85073"/>
    <n v="2208979700"/>
    <n v="403968338400"/>
    <n v="15301831"/>
  </r>
  <r>
    <x v="532"/>
    <n v="22950"/>
    <n v="-3450"/>
    <n v="-13.07"/>
    <n v="24000"/>
    <n v="24400"/>
    <n v="22900"/>
    <n v="104874"/>
    <n v="2480537000"/>
    <n v="351177021450"/>
    <n v="15301831"/>
  </r>
  <r>
    <x v="533"/>
    <n v="23300"/>
    <n v="350"/>
    <n v="1.53"/>
    <n v="23250"/>
    <n v="23850"/>
    <n v="22500"/>
    <n v="73658"/>
    <n v="1704990400"/>
    <n v="356532662300"/>
    <n v="15301831"/>
  </r>
  <r>
    <x v="534"/>
    <n v="22450"/>
    <n v="-850"/>
    <n v="-3.65"/>
    <n v="22750"/>
    <n v="23600"/>
    <n v="21850"/>
    <n v="58526"/>
    <n v="1312804050"/>
    <n v="343526105950"/>
    <n v="15301831"/>
  </r>
  <r>
    <x v="535"/>
    <n v="21950"/>
    <n v="-500"/>
    <n v="-2.23"/>
    <n v="21950"/>
    <n v="22100"/>
    <n v="21000"/>
    <n v="76683"/>
    <n v="1645721250"/>
    <n v="335875190450"/>
    <n v="15301831"/>
  </r>
  <r>
    <x v="536"/>
    <n v="25100"/>
    <n v="3150"/>
    <n v="14.35"/>
    <n v="22850"/>
    <n v="26800"/>
    <n v="22650"/>
    <n v="232674"/>
    <n v="5867100075"/>
    <n v="384075958100"/>
    <n v="15301831"/>
  </r>
  <r>
    <x v="537"/>
    <n v="25250"/>
    <n v="150"/>
    <n v="0.6"/>
    <n v="25900"/>
    <n v="27000"/>
    <n v="25000"/>
    <n v="63659"/>
    <n v="1626724550"/>
    <n v="386371232750"/>
    <n v="15301831"/>
  </r>
  <r>
    <x v="538"/>
    <n v="24550"/>
    <n v="-700"/>
    <n v="-2.77"/>
    <n v="26200"/>
    <n v="26200"/>
    <n v="24150"/>
    <n v="63559"/>
    <n v="1561471675"/>
    <n v="375659951050"/>
    <n v="15301831"/>
  </r>
  <r>
    <x v="539"/>
    <n v="24100"/>
    <n v="-450"/>
    <n v="-1.83"/>
    <n v="24150"/>
    <n v="24450"/>
    <n v="22600"/>
    <n v="49200"/>
    <n v="1176126275"/>
    <n v="368774127100"/>
    <n v="15301831"/>
  </r>
  <r>
    <x v="540"/>
    <n v="23500"/>
    <n v="-600"/>
    <n v="-2.49"/>
    <n v="25000"/>
    <n v="25000"/>
    <n v="23450"/>
    <n v="55735"/>
    <n v="1328552675"/>
    <n v="359593028500"/>
    <n v="15301831"/>
  </r>
  <r>
    <x v="541"/>
    <n v="22250"/>
    <n v="-1250"/>
    <n v="-5.32"/>
    <n v="23150"/>
    <n v="23300"/>
    <n v="21750"/>
    <n v="80876"/>
    <n v="1799007450"/>
    <n v="342062177250"/>
    <n v="15373581"/>
  </r>
  <r>
    <x v="542"/>
    <n v="21600"/>
    <n v="-650"/>
    <n v="-2.92"/>
    <n v="22350"/>
    <n v="22900"/>
    <n v="21350"/>
    <n v="52503"/>
    <n v="1148240225"/>
    <n v="332069349600"/>
    <n v="15373581"/>
  </r>
  <r>
    <x v="543"/>
    <n v="19810"/>
    <n v="-1790"/>
    <n v="-8.289999999999999"/>
    <n v="21550"/>
    <n v="21800"/>
    <n v="19800"/>
    <n v="67278"/>
    <n v="1368018620"/>
    <n v="304550639610"/>
    <n v="15373581"/>
  </r>
  <r>
    <x v="544"/>
    <n v="20500"/>
    <n v="690"/>
    <n v="3.48"/>
    <n v="19710"/>
    <n v="20500"/>
    <n v="19510"/>
    <n v="60694"/>
    <n v="1219935915"/>
    <n v="315158410500"/>
    <n v="15373581"/>
  </r>
  <r>
    <x v="545"/>
    <n v="20100"/>
    <n v="-400"/>
    <n v="-1.95"/>
    <n v="22150"/>
    <n v="22150"/>
    <n v="19890"/>
    <n v="52509"/>
    <n v="1078955405"/>
    <n v="309008978100"/>
    <n v="15373581"/>
  </r>
  <r>
    <x v="546"/>
    <n v="18230"/>
    <n v="-1870"/>
    <n v="-9.300000000000001"/>
    <n v="19700"/>
    <n v="20100"/>
    <n v="17830"/>
    <n v="71603"/>
    <n v="1327217550"/>
    <n v="280260381630"/>
    <n v="15373581"/>
  </r>
  <r>
    <x v="547"/>
    <n v="20150"/>
    <n v="1920"/>
    <n v="10.53"/>
    <n v="17960"/>
    <n v="20200"/>
    <n v="17820"/>
    <n v="54368"/>
    <n v="1056024500"/>
    <n v="309777657150"/>
    <n v="15373581"/>
  </r>
  <r>
    <x v="548"/>
    <n v="20250"/>
    <n v="100"/>
    <n v="0.5"/>
    <n v="20450"/>
    <n v="20800"/>
    <n v="19870"/>
    <n v="53842"/>
    <n v="1086703050"/>
    <n v="311315015250"/>
    <n v="15373581"/>
  </r>
  <r>
    <x v="549"/>
    <n v="20700"/>
    <n v="450"/>
    <n v="2.22"/>
    <n v="20250"/>
    <n v="21100"/>
    <n v="19820"/>
    <n v="48052"/>
    <n v="986667365"/>
    <n v="318233126700"/>
    <n v="15373581"/>
  </r>
  <r>
    <x v="550"/>
    <n v="19100"/>
    <n v="-1600"/>
    <n v="-7.73"/>
    <n v="20700"/>
    <n v="20700"/>
    <n v="19000"/>
    <n v="42824"/>
    <n v="829147375"/>
    <n v="293635397100"/>
    <n v="15373581"/>
  </r>
  <r>
    <x v="551"/>
    <n v="18440"/>
    <n v="-660"/>
    <n v="-3.46"/>
    <n v="19290"/>
    <n v="19560"/>
    <n v="17950"/>
    <n v="94923"/>
    <n v="1734901960"/>
    <n v="283488833640"/>
    <n v="15373581"/>
  </r>
  <r>
    <x v="552"/>
    <n v="18600"/>
    <n v="160"/>
    <n v="0.87"/>
    <n v="18720"/>
    <n v="18720"/>
    <n v="18020"/>
    <n v="27436"/>
    <n v="503054210"/>
    <n v="285948606600"/>
    <n v="15373581"/>
  </r>
  <r>
    <x v="553"/>
    <n v="17350"/>
    <n v="-1250"/>
    <n v="-6.72"/>
    <n v="18040"/>
    <n v="18680"/>
    <n v="17150"/>
    <n v="46128"/>
    <n v="814727420"/>
    <n v="266731630350"/>
    <n v="15373581"/>
  </r>
  <r>
    <x v="554"/>
    <n v="15980"/>
    <n v="-1370"/>
    <n v="-7.9"/>
    <n v="16520"/>
    <n v="17200"/>
    <n v="15780"/>
    <n v="69111"/>
    <n v="1128031030"/>
    <n v="245669824380"/>
    <n v="15373581"/>
  </r>
  <r>
    <x v="555"/>
    <n v="16090"/>
    <n v="110"/>
    <n v="0.6899999999999999"/>
    <n v="15700"/>
    <n v="17110"/>
    <n v="15700"/>
    <n v="46025"/>
    <n v="755632900"/>
    <n v="247360918290"/>
    <n v="15373581"/>
  </r>
  <r>
    <x v="556"/>
    <n v="18240"/>
    <n v="2150"/>
    <n v="13.36"/>
    <n v="16260"/>
    <n v="18680"/>
    <n v="16260"/>
    <n v="71553"/>
    <n v="1280244055"/>
    <n v="280414117440"/>
    <n v="15373581"/>
  </r>
  <r>
    <x v="557"/>
    <n v="17070"/>
    <n v="-1170"/>
    <n v="-6.41"/>
    <n v="18240"/>
    <n v="18780"/>
    <n v="16900"/>
    <n v="36598"/>
    <n v="645243210"/>
    <n v="262427027670"/>
    <n v="15373581"/>
  </r>
  <r>
    <x v="558"/>
    <n v="16150"/>
    <n v="-920"/>
    <n v="-5.39"/>
    <n v="16580"/>
    <n v="17030"/>
    <n v="15730"/>
    <n v="38057"/>
    <n v="617713770"/>
    <n v="248283333150"/>
    <n v="15373581"/>
  </r>
  <r>
    <x v="559"/>
    <n v="17150"/>
    <n v="1000"/>
    <n v="6.19"/>
    <n v="16690"/>
    <n v="17600"/>
    <n v="16530"/>
    <n v="29192"/>
    <n v="502533800"/>
    <n v="263656914150"/>
    <n v="15373581"/>
  </r>
  <r>
    <x v="560"/>
    <n v="16470"/>
    <n v="-680"/>
    <n v="-3.97"/>
    <n v="16950"/>
    <n v="16950"/>
    <n v="16260"/>
    <n v="22126"/>
    <n v="364723780"/>
    <n v="253202879070"/>
    <n v="15373581"/>
  </r>
  <r>
    <x v="561"/>
    <n v="15140"/>
    <n v="-1330"/>
    <n v="-8.08"/>
    <n v="15950"/>
    <n v="15980"/>
    <n v="15100"/>
    <n v="31588"/>
    <n v="486163160"/>
    <n v="232756016340"/>
    <n v="15373581"/>
  </r>
  <r>
    <x v="562"/>
    <n v="15950"/>
    <n v="810"/>
    <n v="5.35"/>
    <n v="15260"/>
    <n v="16440"/>
    <n v="14860"/>
    <n v="34231"/>
    <n v="533479420"/>
    <n v="245208616950"/>
    <n v="15373581"/>
  </r>
  <r>
    <x v="563"/>
    <n v="16950"/>
    <n v="1000"/>
    <n v="6.27"/>
    <n v="17350"/>
    <n v="18360"/>
    <n v="16500"/>
    <n v="89542"/>
    <n v="1554468095"/>
    <n v="260911027950"/>
    <n v="15392981"/>
  </r>
  <r>
    <x v="564"/>
    <n v="17510"/>
    <n v="560"/>
    <n v="3.3"/>
    <n v="17480"/>
    <n v="17680"/>
    <n v="16710"/>
    <n v="50342"/>
    <n v="869076075"/>
    <n v="269531097310"/>
    <n v="15392981"/>
  </r>
  <r>
    <x v="565"/>
    <n v="16490"/>
    <n v="-1020"/>
    <n v="-5.83"/>
    <n v="17140"/>
    <n v="17140"/>
    <n v="16380"/>
    <n v="24502"/>
    <n v="408138910"/>
    <n v="253830256690"/>
    <n v="15392981"/>
  </r>
  <r>
    <x v="566"/>
    <n v="17670"/>
    <n v="1180"/>
    <n v="7.16"/>
    <n v="17250"/>
    <n v="18970"/>
    <n v="16850"/>
    <n v="62179"/>
    <n v="1110113120"/>
    <n v="271993974270"/>
    <n v="15392981"/>
  </r>
  <r>
    <x v="567"/>
    <n v="15900"/>
    <n v="-1770"/>
    <n v="-10.02"/>
    <n v="16720"/>
    <n v="17550"/>
    <n v="15830"/>
    <n v="33214"/>
    <n v="540324820"/>
    <n v="244748397900"/>
    <n v="15392981"/>
  </r>
  <r>
    <x v="568"/>
    <n v="20650"/>
    <n v="4750"/>
    <n v="29.87"/>
    <n v="20650"/>
    <n v="20650"/>
    <n v="20650"/>
    <n v="26204"/>
    <n v="541112600"/>
    <n v="317865057650"/>
    <n v="15392981"/>
  </r>
  <r>
    <x v="569"/>
    <n v="19050"/>
    <n v="-1600"/>
    <n v="-7.75"/>
    <n v="24500"/>
    <n v="24600"/>
    <n v="17510"/>
    <n v="884382"/>
    <n v="17596411745"/>
    <n v="293236288050"/>
    <n v="15392981"/>
  </r>
  <r>
    <x v="570"/>
    <n v="20150"/>
    <n v="1100"/>
    <n v="5.77"/>
    <n v="19420"/>
    <n v="20650"/>
    <n v="18680"/>
    <n v="513769"/>
    <n v="10115475835"/>
    <n v="310168567150"/>
    <n v="15392981"/>
  </r>
  <r>
    <x v="571"/>
    <n v="22700"/>
    <n v="2550"/>
    <n v="12.66"/>
    <n v="22750"/>
    <n v="25400"/>
    <n v="22300"/>
    <n v="872218"/>
    <n v="20833937050"/>
    <n v="349420668700"/>
    <n v="15392981"/>
  </r>
  <r>
    <x v="572"/>
    <n v="22500"/>
    <n v="-200"/>
    <n v="-0.88"/>
    <n v="21750"/>
    <n v="22650"/>
    <n v="21200"/>
    <n v="264078"/>
    <n v="5812926800"/>
    <n v="346342072500"/>
    <n v="15392981"/>
  </r>
  <r>
    <x v="573"/>
    <n v="23000"/>
    <n v="500"/>
    <n v="2.22"/>
    <n v="22600"/>
    <n v="23150"/>
    <n v="21500"/>
    <n v="193899"/>
    <n v="4363730500"/>
    <n v="354038563000"/>
    <n v="15392981"/>
  </r>
  <r>
    <x v="574"/>
    <n v="23100"/>
    <n v="100"/>
    <n v="0.43"/>
    <n v="24050"/>
    <n v="24150"/>
    <n v="22300"/>
    <n v="250208"/>
    <n v="5791177650"/>
    <n v="355577861100"/>
    <n v="15392981"/>
  </r>
  <r>
    <x v="575"/>
    <n v="22100"/>
    <n v="-1000"/>
    <n v="-4.33"/>
    <n v="23250"/>
    <n v="23300"/>
    <n v="21750"/>
    <n v="114419"/>
    <n v="2551195600"/>
    <n v="340184880100"/>
    <n v="15392981"/>
  </r>
  <r>
    <x v="576"/>
    <n v="22300"/>
    <n v="200"/>
    <n v="0.9"/>
    <n v="21900"/>
    <n v="22500"/>
    <n v="21400"/>
    <n v="104414"/>
    <n v="2311258500"/>
    <n v="343263476300"/>
    <n v="15392981"/>
  </r>
  <r>
    <x v="577"/>
    <n v="22400"/>
    <n v="100"/>
    <n v="0.45"/>
    <n v="23450"/>
    <n v="23450"/>
    <n v="22000"/>
    <n v="111047"/>
    <n v="2500001700"/>
    <n v="344802774400"/>
    <n v="15392981"/>
  </r>
  <r>
    <x v="578"/>
    <n v="22450"/>
    <n v="50"/>
    <n v="0.22"/>
    <n v="22250"/>
    <n v="23000"/>
    <n v="21750"/>
    <n v="92339"/>
    <n v="2074317850"/>
    <n v="345572423450"/>
    <n v="15392981"/>
  </r>
  <r>
    <x v="579"/>
    <n v="22700"/>
    <n v="250"/>
    <n v="1.11"/>
    <n v="22700"/>
    <n v="23100"/>
    <n v="22200"/>
    <n v="96704"/>
    <n v="2196142825"/>
    <n v="349420668700"/>
    <n v="15392981"/>
  </r>
  <r>
    <x v="580"/>
    <n v="22950"/>
    <n v="250"/>
    <n v="1.1"/>
    <n v="22900"/>
    <n v="23850"/>
    <n v="22200"/>
    <n v="139062"/>
    <n v="3223558275"/>
    <n v="353268913950"/>
    <n v="15392981"/>
  </r>
  <r>
    <x v="581"/>
    <n v="22650"/>
    <n v="-300"/>
    <n v="-1.31"/>
    <n v="23700"/>
    <n v="24100"/>
    <n v="22400"/>
    <n v="164179"/>
    <n v="3839820200"/>
    <n v="348651019650"/>
    <n v="15392981"/>
  </r>
  <r>
    <x v="582"/>
    <n v="21250"/>
    <n v="-1400"/>
    <n v="-6.18"/>
    <n v="21950"/>
    <n v="22850"/>
    <n v="21250"/>
    <n v="75509"/>
    <n v="1662784500"/>
    <n v="327100846250"/>
    <n v="15392981"/>
  </r>
  <r>
    <x v="583"/>
    <n v="21700"/>
    <n v="450"/>
    <n v="2.12"/>
    <n v="21500"/>
    <n v="21850"/>
    <n v="21150"/>
    <n v="32240"/>
    <n v="695154825"/>
    <n v="334027687700"/>
    <n v="15392981"/>
  </r>
  <r>
    <x v="584"/>
    <n v="20350"/>
    <n v="-1350"/>
    <n v="-6.22"/>
    <n v="21000"/>
    <n v="21100"/>
    <n v="20150"/>
    <n v="47614"/>
    <n v="971765075"/>
    <n v="313247163350"/>
    <n v="15392981"/>
  </r>
  <r>
    <x v="585"/>
    <n v="20100"/>
    <n v="-250"/>
    <n v="-1.23"/>
    <n v="20650"/>
    <n v="20750"/>
    <n v="20100"/>
    <n v="27167"/>
    <n v="552440725"/>
    <n v="309398918100"/>
    <n v="15392981"/>
  </r>
  <r>
    <x v="586"/>
    <n v="20850"/>
    <n v="750"/>
    <n v="3.73"/>
    <n v="21200"/>
    <n v="21200"/>
    <n v="20000"/>
    <n v="42302"/>
    <n v="865729575"/>
    <n v="320943653850"/>
    <n v="15392981"/>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피벗 테이블1" cacheId="0" dataOnRows="0" dataCaption="값" showError="0" showMissing="1" updatedVersion="6"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M3" firstHeaderRow="0" firstDataRow="0" firstDataCol="0" rowPageCount="1" colPageCount="1"/>
  <pivotFields count="11">
    <pivotField axis="axisPage" showDropDowns="1" compact="1" outline="1" subtotalTop="1" dragToRow="1" dragToCol="1" dragToPage="1" dragToData="1" dragOff="1" showAll="0" topAutoShow="1" itemPageCount="10" sortType="manual" defaultSubtotal="1">
      <items count="58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523"/>
        <item t="data" sd="1" x="524"/>
        <item t="data" sd="1" x="525"/>
        <item t="data" sd="1" x="526"/>
        <item t="data" sd="1" x="527"/>
        <item t="data" sd="1" x="528"/>
        <item t="data" sd="1" x="529"/>
        <item t="data" sd="1" x="530"/>
        <item t="data" sd="1" x="531"/>
        <item t="data" sd="1" x="532"/>
        <item t="data" sd="1" x="533"/>
        <item t="data" sd="1" x="534"/>
        <item t="data" sd="1" x="535"/>
        <item t="data" sd="1" x="536"/>
        <item t="data" sd="1" x="537"/>
        <item t="data" sd="1" x="538"/>
        <item t="data" sd="1" x="539"/>
        <item t="data" sd="1" x="540"/>
        <item t="data" sd="1" x="541"/>
        <item t="data" sd="1" x="542"/>
        <item t="data" sd="1" x="543"/>
        <item t="data" sd="1" x="544"/>
        <item t="data" sd="1" x="545"/>
        <item t="data" sd="1" x="546"/>
        <item t="data" sd="1" x="547"/>
        <item t="data" sd="1" x="548"/>
        <item t="data" sd="1" x="549"/>
        <item t="data" sd="1" x="550"/>
        <item t="data" sd="1" x="551"/>
        <item t="data" sd="1" x="552"/>
        <item t="data" sd="1" x="553"/>
        <item t="data" sd="1" x="554"/>
        <item t="data" sd="1" x="555"/>
        <item t="data" sd="1" x="556"/>
        <item t="data" sd="1" x="557"/>
        <item t="data" sd="1" x="558"/>
        <item t="data" sd="1" x="559"/>
        <item t="data" sd="1" x="560"/>
        <item t="data" sd="1" x="561"/>
        <item t="data" sd="1" x="562"/>
        <item t="data" sd="1" x="563"/>
        <item t="data" sd="1" x="564"/>
        <item t="data" sd="1" x="565"/>
        <item t="data" sd="1" x="566"/>
        <item t="data" sd="1" x="567"/>
        <item t="data" sd="1" x="568"/>
        <item t="data" sd="1" x="569"/>
        <item t="data" sd="1" x="570"/>
        <item t="data" sd="1" x="571"/>
        <item t="data" sd="1" x="572"/>
        <item t="data" sd="1" x="573"/>
        <item t="data" sd="1" x="574"/>
        <item t="data" sd="1" x="575"/>
        <item t="data" sd="1" x="576"/>
        <item t="data" sd="1" x="577"/>
        <item t="data" sd="1" x="578"/>
        <item t="data" sd="1" x="579"/>
        <item t="data" sd="1" x="580"/>
        <item t="data" sd="1" x="581"/>
        <item t="data" sd="1" x="582"/>
        <item t="data" sd="1" x="583"/>
        <item t="data" sd="1" x="584"/>
        <item t="data" sd="1" x="585"/>
        <item t="data" sd="1" x="586"/>
        <item t="default" sd="1"/>
      </items>
    </pivotField>
    <pivotField showDropDowns="1" compact="1" numFmtId="3" outline="1" subtotalTop="1" dragToRow="1" dragToCol="1" dragToPage="1" dragToData="1" dragOff="1" showAll="0" topAutoShow="1" itemPageCount="10" sortType="manual" defaultSubtotal="1"/>
    <pivotField showDropDowns="1" compact="1" numFmtId="3" outline="1" subtotalTop="1" dragToRow="1" dragToCol="1" dragToPage="1" dragToData="1" dragOff="1" showAll="0" topAutoShow="1" itemPageCount="10" sortType="manual" defaultSubtotal="1"/>
    <pivotField showDropDowns="1" compact="1" numFmtId="4" outline="1" subtotalTop="1" dragToRow="1" dragToCol="1" dragToPage="1" dragToData="1" dragOff="1" showAll="0" topAutoShow="1" itemPageCount="10" sortType="manual" defaultSubtotal="1"/>
    <pivotField showDropDowns="1" compact="1" numFmtId="3" outline="1" subtotalTop="1" dragToRow="1" dragToCol="1" dragToPage="1" dragToData="1" dragOff="1" showAll="0" topAutoShow="1" itemPageCount="10" sortType="manual" defaultSubtotal="1"/>
    <pivotField showDropDowns="1" compact="1" numFmtId="3" outline="1" subtotalTop="1" dragToRow="1" dragToCol="1" dragToPage="1" dragToData="1" dragOff="1" showAll="0" topAutoShow="1" itemPageCount="10" sortType="manual" defaultSubtotal="1"/>
    <pivotField showDropDowns="1" compact="1" numFmtId="3" outline="1" subtotalTop="1" dragToRow="1" dragToCol="1" dragToPage="1" dragToData="1" dragOff="1" showAll="0" topAutoShow="1" itemPageCount="10" sortType="manual" defaultSubtotal="1"/>
    <pivotField showDropDowns="1" compact="1" numFmtId="3" outline="1" subtotalTop="1" dragToRow="1" dragToCol="1" dragToPage="1" dragToData="1" dragOff="1" showAll="0" topAutoShow="1" itemPageCount="10" sortType="manual" defaultSubtotal="1"/>
    <pivotField showDropDowns="1" compact="1" numFmtId="3" outline="1" subtotalTop="1" dragToRow="1" dragToCol="1" dragToPage="1" dragToData="1" dragOff="1" showAll="0" topAutoShow="1" itemPageCount="10" sortType="manual" defaultSubtotal="1"/>
    <pivotField showDropDowns="1" compact="1" numFmtId="3" outline="1" subtotalTop="1" dragToRow="1" dragToCol="1" dragToPage="1" dragToData="1" dragOff="1" showAll="0" topAutoShow="1" itemPageCount="10" sortType="manual" defaultSubtotal="1"/>
    <pivotField showDropDowns="1" compact="1" numFmtId="3" outline="1" subtotalTop="1" dragToRow="1" dragToCol="1" dragToPage="1" dragToData="1" dragOff="1" showAll="0" topAutoShow="1" itemPageCount="10" sortType="manual" defaultSubtotal="1"/>
  </pivotFields>
  <pageFields count="1">
    <pageField fld="0" hier="-1"/>
  </pageFields>
  <pivotTableStyleInfo name="PivotStyleLight16" showRowHeaders="1" showColHeaders="1" showRowStripes="0" showColStripes="0" showLastColumn="1"/>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pivotTable" Target="/xl/pivotTables/pivotTable1.xml" Id="rId1"/></Relationships>
</file>

<file path=xl/worksheets/_rels/sheet16.xml.rels><Relationships xmlns="http://schemas.openxmlformats.org/package/2006/relationships"><Relationship Type="http://schemas.openxmlformats.org/officeDocument/2006/relationships/hyperlink" Target="http://www.bosa.co.kr/news/articleView.html?idxno=2114946" TargetMode="External" Id="rId1"/><Relationship Type="http://schemas.openxmlformats.org/officeDocument/2006/relationships/hyperlink" Target="https://www.kiria.org/portal/policysut/portalPlcyInquiry.do" TargetMode="External" Id="rId2"/><Relationship Type="http://schemas.openxmlformats.org/officeDocument/2006/relationships/hyperlink" Target="https://www.data.go.kr/data/3041731/fileData.do" TargetMode="External" Id="rId3"/><Relationship Type="http://schemas.openxmlformats.org/officeDocument/2006/relationships/hyperlink" Target="https://www.kostat.go.kr/board.es?mid=a10301010000&amp;bid=10820&amp;list_no=438832" TargetMode="External" Id="rId4"/><Relationship Type="http://schemas.openxmlformats.org/officeDocument/2006/relationships/hyperlink" Target="https://kosis.kr/visual/nsportalStats/detailContents.do?listId=A&amp;statJipyoId=3634" TargetMode="External" Id="rId5"/><Relationship Type="http://schemas.openxmlformats.org/officeDocument/2006/relationships/hyperlink" Target="https://opendata.hira.or.kr/op/opc/selectMedInfoSvcList.do" TargetMode="External" Id="rId6"/><Relationship Type="http://schemas.openxmlformats.org/officeDocument/2006/relationships/hyperlink" Target="https://www.nrc.go.kr/research/html/content.do?depth=rp&amp;menu_cd=03_04_00_01" TargetMode="External" Id="rId7"/><Relationship Type="http://schemas.openxmlformats.org/officeDocument/2006/relationships/hyperlink" Target="https://www.fortunebusinessinsights.com/wearable-robotic-exoskeleton-market-104664" TargetMode="External" Id="rId8"/><Relationship Type="http://schemas.openxmlformats.org/officeDocument/2006/relationships/hyperlink" Target="https://www.giikorea.co.kr/report/gmi1858972-rehabilitation-robots-market-opportunity-growth.html" TargetMode="External" Id="rId9"/><Relationship Type="http://schemas.openxmlformats.org/officeDocument/2006/relationships/hyperlink" Target="https://www.mordorintelligence.kr/industry-reports/rehabilitation-robots-market" TargetMode="External" Id="rId10"/><Relationship Type="http://schemas.openxmlformats.org/officeDocument/2006/relationships/hyperlink" Target="http://data.krx.co.kr/" TargetMode="External" Id="rId11"/></Relationships>
</file>

<file path=xl/worksheets/sheet1.xml><?xml version="1.0" encoding="utf-8"?>
<worksheet xmlns="http://schemas.openxmlformats.org/spreadsheetml/2006/main">
  <sheetPr>
    <tabColor rgb="FFF58220"/>
    <outlinePr summaryBelow="1" summaryRight="1"/>
    <pageSetUpPr/>
  </sheetPr>
  <dimension ref="A2:I47"/>
  <sheetViews>
    <sheetView showGridLines="0" topLeftCell="A19" workbookViewId="0">
      <selection activeCell="B29" sqref="B29"/>
    </sheetView>
  </sheetViews>
  <sheetFormatPr baseColWidth="8" defaultRowHeight="16.5"/>
  <cols>
    <col width="3" customWidth="1" style="276" min="1" max="1"/>
    <col width="26" customWidth="1" style="276" min="2" max="2"/>
    <col width="32.75" customWidth="1" style="276" min="3" max="3"/>
    <col width="20" customWidth="1" style="276" min="4" max="5"/>
    <col width="18" customWidth="1" style="276" min="6" max="6"/>
    <col width="16" customWidth="1" style="276" min="7" max="7"/>
    <col width="14" customWidth="1" style="276" min="8" max="8"/>
  </cols>
  <sheetData>
    <row r="2" ht="31.5" customHeight="1" s="276">
      <c r="B2" s="277" t="inlineStr">
        <is>
          <t>엔젤로보틱스㈜ (KOSDAQ 455900)</t>
        </is>
      </c>
    </row>
    <row r="3" ht="17.25" customHeight="1" s="276">
      <c r="B3" s="275" t="inlineStr">
        <is>
          <t>사모 CB·CPS 발행 검토 — 리서치 자료 집계</t>
        </is>
      </c>
    </row>
    <row r="4">
      <c r="B4" s="1" t="n"/>
      <c r="C4" s="1" t="n"/>
      <c r="D4" s="1" t="n"/>
      <c r="E4" s="1" t="n"/>
      <c r="F4" s="1" t="n"/>
      <c r="G4" s="1" t="n"/>
      <c r="H4" s="1" t="n"/>
    </row>
    <row r="5">
      <c r="B5" s="371" t="inlineStr">
        <is>
          <t>기준일 2026.08.26 / 재무수치 기준일 2026.06.30 (제10기 반기) / 제도·경쟁 정보는 2026.08 반영</t>
        </is>
      </c>
    </row>
    <row r="7" ht="17.25" customHeight="1" s="276">
      <c r="B7" s="3" t="inlineStr">
        <is>
          <t>1.  한눈에 보기</t>
        </is>
      </c>
    </row>
    <row r="8">
      <c r="B8" s="278" t="inlineStr">
        <is>
          <t>구분</t>
        </is>
      </c>
      <c r="C8" s="278" t="inlineStr">
        <is>
          <t>내용</t>
        </is>
      </c>
      <c r="D8" s="278" t="inlineStr">
        <is>
          <t>구분</t>
        </is>
      </c>
      <c r="E8" s="278" t="inlineStr">
        <is>
          <t>내용</t>
        </is>
      </c>
    </row>
    <row r="9">
      <c r="B9" s="5" t="inlineStr">
        <is>
          <t>설립 / 상장</t>
        </is>
      </c>
      <c r="C9" s="6" t="inlineStr">
        <is>
          <t>2017.02 / 2024.03.26 (기술특례)</t>
        </is>
      </c>
      <c r="D9" s="5" t="inlineStr">
        <is>
          <t>대표이사</t>
        </is>
      </c>
      <c r="E9" s="6" t="inlineStr">
        <is>
          <t>조남민 (2024.10)</t>
        </is>
      </c>
    </row>
    <row r="10">
      <c r="B10" s="5" t="inlineStr">
        <is>
          <t>발행주식총수</t>
        </is>
      </c>
      <c r="C10" s="6" t="inlineStr">
        <is>
          <t>15,392,981주</t>
        </is>
      </c>
      <c r="D10" s="5" t="inlineStr">
        <is>
          <t>이사회 의장·CTO</t>
        </is>
      </c>
      <c r="E10" s="6" t="inlineStr">
        <is>
          <t>공경철 (창업자)</t>
        </is>
      </c>
    </row>
    <row r="11">
      <c r="B11" s="5" t="inlineStr">
        <is>
          <t>최대주주등</t>
        </is>
      </c>
      <c r="C11" s="6" t="inlineStr">
        <is>
          <t>공경철 외 2인 27.48%</t>
        </is>
      </c>
      <c r="D11" s="5" t="inlineStr">
        <is>
          <t>2대주주</t>
        </is>
      </c>
      <c r="E11" s="6" t="inlineStr">
        <is>
          <t>LG전자 6.24%</t>
        </is>
      </c>
    </row>
    <row r="12">
      <c r="B12" s="5" t="inlineStr">
        <is>
          <t>2025년 매출</t>
        </is>
      </c>
      <c r="C12" s="6" t="inlineStr">
        <is>
          <t>4,641백만원</t>
        </is>
      </c>
      <c r="D12" s="5" t="inlineStr">
        <is>
          <t>2026년 반기 매출</t>
        </is>
      </c>
      <c r="E12" s="6" t="inlineStr">
        <is>
          <t>1,295백만원 (-49.4% YoY)</t>
        </is>
      </c>
    </row>
    <row r="13">
      <c r="B13" s="5" t="inlineStr">
        <is>
          <t>2025년 영업손실</t>
        </is>
      </c>
      <c r="C13" s="6" t="inlineStr">
        <is>
          <t>(10,276)백만원</t>
        </is>
      </c>
      <c r="D13" s="5" t="inlineStr">
        <is>
          <t>2026년 반기 영업손실</t>
        </is>
      </c>
      <c r="E13" s="6" t="inlineStr">
        <is>
          <t>(6,163)백만원</t>
        </is>
      </c>
    </row>
    <row r="14">
      <c r="B14" s="5" t="inlineStr">
        <is>
          <t>자기자본 (26.6말)</t>
        </is>
      </c>
      <c r="C14" s="6" t="inlineStr">
        <is>
          <t>30,982백만원</t>
        </is>
      </c>
      <c r="D14" s="5" t="inlineStr">
        <is>
          <t>즉시 가용 유동성</t>
        </is>
      </c>
      <c r="E14" s="6" t="inlineStr">
        <is>
          <t>25,063백만원</t>
        </is>
      </c>
    </row>
    <row r="15">
      <c r="B15" s="5" t="inlineStr">
        <is>
          <t>차입금</t>
        </is>
      </c>
      <c r="C15" s="6" t="inlineStr">
        <is>
          <t>없음</t>
        </is>
      </c>
      <c r="D15" s="5" t="inlineStr">
        <is>
          <t>미상환 CB·BW</t>
        </is>
      </c>
      <c r="E15" s="6" t="inlineStr">
        <is>
          <t>없음</t>
        </is>
      </c>
    </row>
    <row r="16">
      <c r="A16" s="417" t="n"/>
      <c r="B16" s="376" t="inlineStr">
        <is>
          <t>국내 시장점유율</t>
        </is>
      </c>
      <c r="C16" s="377" t="inlineStr">
        <is>
          <t>56% (2023년, 2위 21%)</t>
        </is>
      </c>
      <c r="D16" s="377" t="inlineStr">
        <is>
          <t>해외 인허가</t>
        </is>
      </c>
      <c r="E16" s="377" t="inlineStr">
        <is>
          <t>태국·베트남·말레이시아 (M20) / 말레이시아·베트남 (H10)</t>
        </is>
      </c>
      <c r="F16" s="417" t="n"/>
      <c r="G16" s="417" t="n"/>
      <c r="H16" s="417" t="n"/>
      <c r="I16" s="417" t="n"/>
    </row>
    <row r="17">
      <c r="A17" s="417" t="n"/>
      <c r="B17" s="441" t="inlineStr">
        <is>
          <t>건강보험 수가</t>
        </is>
      </c>
      <c r="C17" s="377" t="inlineStr">
        <is>
          <t>MM304 선별급여, 본인부담 50%</t>
        </is>
      </c>
      <c r="D17" s="377" t="inlineStr">
        <is>
          <t>급여대상 확대</t>
        </is>
      </c>
      <c r="E17" s="377" t="inlineStr">
        <is>
          <t>2026.07.31 — 18세 이하 뇌성마비 등 중추신경계 질환</t>
        </is>
      </c>
      <c r="F17" s="417" t="n"/>
      <c r="G17" s="417" t="n"/>
      <c r="H17" s="417" t="n"/>
      <c r="I17" s="417" t="n"/>
    </row>
    <row r="18">
      <c r="A18" s="417" t="n"/>
      <c r="B18" s="417" t="n"/>
      <c r="C18" s="417" t="n"/>
      <c r="D18" s="417" t="n"/>
      <c r="E18" s="417" t="n"/>
      <c r="F18" s="417" t="n"/>
      <c r="G18" s="417" t="n"/>
      <c r="H18" s="417" t="n"/>
      <c r="I18" s="417" t="n"/>
    </row>
    <row r="19" ht="17.25" customHeight="1" s="276">
      <c r="A19" s="417" t="n"/>
      <c r="B19" s="442" t="n"/>
      <c r="C19" s="417" t="n"/>
      <c r="D19" s="417" t="n"/>
      <c r="E19" s="417" t="n"/>
      <c r="F19" s="417" t="n"/>
      <c r="G19" s="417" t="n"/>
      <c r="H19" s="417" t="n"/>
      <c r="I19" s="417" t="n"/>
    </row>
    <row r="20">
      <c r="A20" s="417" t="n"/>
      <c r="B20" s="443" t="inlineStr">
        <is>
          <t>2.  시트 구성</t>
        </is>
      </c>
      <c r="C20" s="444" t="n"/>
      <c r="D20" s="444" t="n"/>
      <c r="E20" s="444" t="n"/>
      <c r="F20" s="417" t="n"/>
      <c r="G20" s="417" t="n"/>
      <c r="H20" s="417" t="n"/>
      <c r="I20" s="417" t="n"/>
    </row>
    <row r="21">
      <c r="A21" s="417" t="n"/>
      <c r="B21" s="375" t="inlineStr">
        <is>
          <t>시트</t>
        </is>
      </c>
      <c r="C21" s="375" t="inlineStr">
        <is>
          <t>내용</t>
        </is>
      </c>
      <c r="D21" s="375" t="inlineStr">
        <is>
          <t>주요 출처</t>
        </is>
      </c>
      <c r="E21" s="375" t="inlineStr">
        <is>
          <t>비고</t>
        </is>
      </c>
      <c r="F21" s="417" t="n"/>
      <c r="G21" s="417" t="n"/>
      <c r="H21" s="417" t="n"/>
      <c r="I21" s="417" t="n"/>
    </row>
    <row r="22">
      <c r="A22" s="417" t="n"/>
      <c r="B22" s="376" t="inlineStr">
        <is>
          <t>01_회사개요·연혁</t>
        </is>
      </c>
      <c r="C22" s="377" t="inlineStr">
        <is>
          <t>기업 기본정보, 연혁 30건</t>
        </is>
      </c>
      <c r="D22" s="377" t="inlineStr">
        <is>
          <t>반기보고서</t>
        </is>
      </c>
      <c r="E22" s="377" t="inlineStr"/>
      <c r="F22" s="417" t="n"/>
      <c r="G22" s="417" t="n"/>
      <c r="H22" s="417" t="n"/>
      <c r="I22" s="417" t="n"/>
    </row>
    <row r="23">
      <c r="A23" s="417" t="n"/>
      <c r="B23" s="376" t="inlineStr">
        <is>
          <t>02_주주·경영진</t>
        </is>
      </c>
      <c r="C23" s="377" t="inlineStr">
        <is>
          <t>주주현황, 임원 8인, 스톡옵션</t>
        </is>
      </c>
      <c r="D23" s="377" t="inlineStr">
        <is>
          <t>반기보고서</t>
        </is>
      </c>
      <c r="E23" s="377" t="inlineStr"/>
      <c r="F23" s="417" t="n"/>
      <c r="G23" s="417" t="n"/>
      <c r="H23" s="417" t="n"/>
      <c r="I23" s="417" t="n"/>
    </row>
    <row r="24">
      <c r="A24" s="417" t="n"/>
      <c r="B24" s="376" t="inlineStr">
        <is>
          <t>03_손익계산서</t>
        </is>
      </c>
      <c r="C24" s="377" t="inlineStr">
        <is>
          <t>2020~2026 반기 손익 추이</t>
        </is>
      </c>
      <c r="D24" s="377" t="inlineStr">
        <is>
          <t>반기·사업보고서, 증권사</t>
        </is>
      </c>
      <c r="E24" s="377" t="inlineStr">
        <is>
          <t>가로형</t>
        </is>
      </c>
      <c r="F24" s="417" t="n"/>
      <c r="G24" s="417" t="n"/>
      <c r="H24" s="417" t="n"/>
      <c r="I24" s="417" t="n"/>
    </row>
    <row r="25">
      <c r="A25" s="417" t="n"/>
      <c r="B25" s="376" t="inlineStr">
        <is>
          <t>04_재무상태표</t>
        </is>
      </c>
      <c r="C25" s="377" t="inlineStr">
        <is>
          <t>2020~2026 반기 재무상태 추이</t>
        </is>
      </c>
      <c r="D25" s="377" t="inlineStr">
        <is>
          <t>반기·사업보고서, 증권사</t>
        </is>
      </c>
      <c r="E25" s="377" t="inlineStr">
        <is>
          <t>가로형</t>
        </is>
      </c>
      <c r="F25" s="417" t="n"/>
      <c r="G25" s="417" t="n"/>
      <c r="H25" s="417" t="n"/>
      <c r="I25" s="417" t="n"/>
    </row>
    <row r="26">
      <c r="A26" s="417" t="n"/>
      <c r="B26" s="376" t="inlineStr">
        <is>
          <t>05_재무비율</t>
        </is>
      </c>
      <c r="C26" s="377" t="inlineStr">
        <is>
          <t>안정성·수익성·성장성 지표</t>
        </is>
      </c>
      <c r="D26" s="377" t="inlineStr">
        <is>
          <t>03·04 시트 참조 산출</t>
        </is>
      </c>
      <c r="E26" s="377" t="inlineStr">
        <is>
          <t>전 항목 수식</t>
        </is>
      </c>
      <c r="F26" s="417" t="n"/>
      <c r="G26" s="417" t="n"/>
      <c r="H26" s="417" t="n"/>
      <c r="I26" s="417" t="n"/>
    </row>
    <row r="27">
      <c r="A27" s="417" t="n"/>
      <c r="B27" s="376" t="inlineStr">
        <is>
          <t>06_제품별매출</t>
        </is>
      </c>
      <c r="C27" s="377" t="inlineStr">
        <is>
          <t>브랜드별·내수수출별 매출, 판매처</t>
        </is>
      </c>
      <c r="D27" s="377" t="inlineStr">
        <is>
          <t>반기보고서 원문 (우측 첨부)</t>
        </is>
      </c>
      <c r="E27" s="377" t="inlineStr">
        <is>
          <t>가로형·수식 링크</t>
        </is>
      </c>
      <c r="F27" s="417" t="n"/>
      <c r="G27" s="417" t="n"/>
      <c r="H27" s="417" t="n"/>
      <c r="I27" s="417" t="n"/>
    </row>
    <row r="28">
      <c r="A28" s="417" t="n"/>
      <c r="B28" s="376" t="inlineStr">
        <is>
          <t>07_추정치대비실적</t>
        </is>
      </c>
      <c r="C28" s="377" t="inlineStr">
        <is>
          <t>증권신고서 예측 대비 실적, 괴리사유</t>
        </is>
      </c>
      <c r="D28" s="377" t="inlineStr">
        <is>
          <t>반기보고서 원문 (우측 첨부)</t>
        </is>
      </c>
      <c r="E28" s="377" t="inlineStr"/>
      <c r="F28" s="417" t="n"/>
      <c r="G28" s="417" t="n"/>
      <c r="H28" s="417" t="n"/>
      <c r="I28" s="417" t="n"/>
    </row>
    <row r="29">
      <c r="A29" s="417" t="n"/>
      <c r="B29" s="376" t="inlineStr">
        <is>
          <t>08_R&amp;D·국가과제</t>
        </is>
      </c>
      <c r="C29" s="377" t="inlineStr">
        <is>
          <t>연구개발비, 국고보조금, 과제 3건, 브레인투로봇</t>
        </is>
      </c>
      <c r="D29" s="377" t="inlineStr">
        <is>
          <t>반기보고서 원문 (우측 첨부)</t>
        </is>
      </c>
      <c r="E29" s="377" t="inlineStr">
        <is>
          <t>가로형·수식 링크</t>
        </is>
      </c>
      <c r="F29" s="417" t="n"/>
      <c r="G29" s="417" t="n"/>
      <c r="H29" s="417" t="n"/>
      <c r="I29" s="417" t="n"/>
    </row>
    <row r="30">
      <c r="A30" s="417" t="n"/>
      <c r="B30" s="376" t="inlineStr">
        <is>
          <t>09_인허가·수상</t>
        </is>
      </c>
      <c r="C30" s="377" t="inlineStr">
        <is>
          <t>해외 인허가, 국내 인허가, 기술 검증 이력</t>
        </is>
      </c>
      <c r="D30" s="377" t="inlineStr">
        <is>
          <t>[인증현황] 시트 수식 참조</t>
        </is>
      </c>
      <c r="E30" s="377" t="inlineStr">
        <is>
          <t>행별 근거 표기</t>
        </is>
      </c>
      <c r="F30" s="417" t="n"/>
      <c r="G30" s="417" t="n"/>
      <c r="H30" s="417" t="n"/>
      <c r="I30" s="417" t="n"/>
    </row>
    <row r="31">
      <c r="A31" s="417" t="n"/>
      <c r="B31" s="441" t="inlineStr">
        <is>
          <t>인증현황</t>
        </is>
      </c>
      <c r="C31" s="377" t="inlineStr">
        <is>
          <t>반기보고서 「바. 주요 인증 내역」 34건 원문</t>
        </is>
      </c>
      <c r="D31" s="377" t="inlineStr">
        <is>
          <t>반기보고서 원문</t>
        </is>
      </c>
      <c r="E31" s="377" t="inlineStr">
        <is>
          <t>09번의 원본</t>
        </is>
      </c>
      <c r="F31" s="417" t="n"/>
      <c r="G31" s="417" t="n"/>
      <c r="H31" s="417" t="n"/>
      <c r="I31" s="417" t="n"/>
    </row>
    <row r="32">
      <c r="A32" s="417" t="n"/>
      <c r="B32" s="376" t="inlineStr">
        <is>
          <t>10_시장·산업</t>
        </is>
      </c>
      <c r="C32" s="377" t="inlineStr">
        <is>
          <t>시장규모, 인구·환자 통계, 수가 체계, 경쟁사</t>
        </is>
      </c>
      <c r="D32" s="377" t="inlineStr">
        <is>
          <t>증권사, 통계, 웹 (O열 URL)</t>
        </is>
      </c>
      <c r="E32" s="377" t="inlineStr">
        <is>
          <t>가로형</t>
        </is>
      </c>
      <c r="F32" s="417" t="n"/>
      <c r="G32" s="417" t="n"/>
      <c r="H32" s="417" t="n"/>
      <c r="I32" s="417" t="n"/>
    </row>
    <row r="33">
      <c r="A33" s="417" t="n"/>
      <c r="B33" s="376" t="inlineStr">
        <is>
          <t>11_주가·밸류에이션</t>
        </is>
      </c>
      <c r="C33" s="377" t="inlineStr">
        <is>
          <t>월별 주가, 공모가 산정, Peer</t>
        </is>
      </c>
      <c r="D33" s="377" t="inlineStr">
        <is>
          <t>[주가데이터] 시트 수식 참조</t>
        </is>
      </c>
      <c r="E33" s="377" t="inlineStr">
        <is>
          <t>가로형</t>
        </is>
      </c>
      <c r="F33" s="417" t="n"/>
      <c r="G33" s="417" t="n"/>
      <c r="H33" s="417" t="n"/>
      <c r="I33" s="417" t="n"/>
    </row>
    <row r="34">
      <c r="A34" s="417" t="n"/>
      <c r="B34" s="441" t="inlineStr">
        <is>
          <t>주가데이터</t>
        </is>
      </c>
      <c r="C34" s="377" t="inlineStr">
        <is>
          <t>일별 주가·거래량 원문</t>
        </is>
      </c>
      <c r="D34" s="377" t="inlineStr">
        <is>
          <t>한국거래소</t>
        </is>
      </c>
      <c r="E34" s="377" t="inlineStr">
        <is>
          <t>11번의 원본</t>
        </is>
      </c>
      <c r="F34" s="417" t="n"/>
      <c r="G34" s="417" t="n"/>
      <c r="H34" s="417" t="n"/>
      <c r="I34" s="417" t="n"/>
    </row>
    <row r="35">
      <c r="A35" s="417" t="n"/>
      <c r="B35" s="376" t="inlineStr">
        <is>
          <t>12_관리종목·시뮬레이션</t>
        </is>
      </c>
      <c r="C35" s="377" t="inlineStr">
        <is>
          <t>지정유예 현황, 자기자본 시뮬레이션</t>
        </is>
      </c>
      <c r="D35" s="377" t="inlineStr">
        <is>
          <t>반기보고서, 산출</t>
        </is>
      </c>
      <c r="E35" s="377" t="inlineStr">
        <is>
          <t>노란 셀 입력형</t>
        </is>
      </c>
      <c r="F35" s="417" t="n"/>
      <c r="G35" s="417" t="n"/>
      <c r="H35" s="417" t="n"/>
      <c r="I35" s="417" t="n"/>
    </row>
    <row r="36">
      <c r="A36" s="417" t="n"/>
      <c r="B36" s="376" t="inlineStr">
        <is>
          <t>13_출처목록</t>
        </is>
      </c>
      <c r="C36" s="377" t="inlineStr">
        <is>
          <t>자료 8건 + 웹 소스 URL + 미확보 항목</t>
        </is>
      </c>
      <c r="D36" s="377" t="inlineStr">
        <is>
          <t>-</t>
        </is>
      </c>
      <c r="E36" s="377" t="inlineStr"/>
      <c r="F36" s="417" t="n"/>
      <c r="G36" s="417" t="n"/>
      <c r="H36" s="417" t="n"/>
      <c r="I36" s="417" t="n"/>
    </row>
    <row r="37">
      <c r="A37" s="417" t="n"/>
      <c r="B37" s="417" t="n"/>
      <c r="C37" s="417" t="n"/>
      <c r="D37" s="417" t="n"/>
      <c r="E37" s="417" t="n"/>
      <c r="F37" s="417" t="n"/>
      <c r="G37" s="417" t="n"/>
      <c r="H37" s="417" t="n"/>
      <c r="I37" s="417" t="n"/>
    </row>
    <row r="38">
      <c r="A38" s="417" t="n"/>
      <c r="B38" s="417" t="n"/>
      <c r="C38" s="417" t="n"/>
      <c r="D38" s="417" t="n"/>
      <c r="E38" s="417" t="n"/>
      <c r="F38" s="417" t="n"/>
      <c r="G38" s="417" t="n"/>
      <c r="H38" s="417" t="n"/>
      <c r="I38" s="417" t="n"/>
    </row>
    <row r="39">
      <c r="A39" s="417" t="n"/>
      <c r="B39" s="445" t="inlineStr">
        <is>
          <t>3.  자료 등급 및 색상 규칙</t>
        </is>
      </c>
      <c r="C39" s="417" t="n"/>
      <c r="D39" s="417" t="n"/>
      <c r="E39" s="417" t="n"/>
      <c r="F39" s="417" t="n"/>
      <c r="G39" s="417" t="n"/>
      <c r="H39" s="417" t="n"/>
      <c r="I39" s="417" t="n"/>
    </row>
    <row r="40">
      <c r="A40" s="417" t="n"/>
      <c r="B40" s="375" t="inlineStr">
        <is>
          <t>구분</t>
        </is>
      </c>
      <c r="C40" s="375" t="inlineStr">
        <is>
          <t>의미</t>
        </is>
      </c>
      <c r="D40" s="417" t="n"/>
      <c r="E40" s="417" t="n"/>
      <c r="F40" s="417" t="n"/>
      <c r="G40" s="417" t="n"/>
      <c r="H40" s="417" t="n"/>
      <c r="I40" s="417" t="n"/>
    </row>
    <row r="41">
      <c r="B41" s="376" t="inlineStr">
        <is>
          <t>파란 글씨</t>
        </is>
      </c>
      <c r="C41" s="377" t="inlineStr">
        <is>
          <t>원문에서 그대로 입력한 값 (1차 자료)</t>
        </is>
      </c>
    </row>
    <row r="42">
      <c r="B42" s="376" t="inlineStr">
        <is>
          <t>검은 글씨</t>
        </is>
      </c>
      <c r="C42" s="377" t="inlineStr">
        <is>
          <t>수식 산출값 또는 서술</t>
        </is>
      </c>
    </row>
    <row r="43">
      <c r="B43" s="376" t="inlineStr">
        <is>
          <t>초록 글씨</t>
        </is>
      </c>
      <c r="C43" s="377" t="inlineStr">
        <is>
          <t>반기보고서 기준일(2026.06.30) 이후 확보한 신규 사실 — 공시 미반영</t>
        </is>
      </c>
    </row>
    <row r="44">
      <c r="B44" s="376" t="inlineStr">
        <is>
          <t>붉은 글씨 / ⚠</t>
        </is>
      </c>
      <c r="C44" s="377" t="inlineStr">
        <is>
          <t>1차 근거 미확보, 추정, 또는 인용 전 원문 대조가 필요한 항목</t>
        </is>
      </c>
    </row>
    <row r="45">
      <c r="B45" s="376" t="inlineStr">
        <is>
          <t>노란 셀</t>
        </is>
      </c>
      <c r="C45" s="377" t="inlineStr">
        <is>
          <t>사용자가 직접 수정하는 가정값 (12번 시트)</t>
        </is>
      </c>
    </row>
    <row r="46">
      <c r="B46" s="376" t="inlineStr">
        <is>
          <t>O열</t>
        </is>
      </c>
      <c r="C46" s="377" t="inlineStr">
        <is>
          <t>해당 블록의 출처 URL</t>
        </is>
      </c>
    </row>
    <row r="47">
      <c r="B47" s="376" t="inlineStr">
        <is>
          <t>원문 시트 규칙</t>
        </is>
      </c>
      <c r="C47" s="377" t="inlineStr">
        <is>
          <t>공시 원문은 별도 시트 또는 표 우측에 그대로 붙여넣고, 정리표는 이를 수식으로 참조함. 원문을 갱신하면 정리표가 자동 반영됨</t>
        </is>
      </c>
    </row>
  </sheetData>
  <mergeCells count="2">
    <mergeCell ref="B3:H3"/>
    <mergeCell ref="B2:H2"/>
  </mergeCells>
  <pageMargins left="0.75" right="0.75" top="1" bottom="1" header="0.5" footer="0.5"/>
  <pageSetup orientation="landscape"/>
</worksheet>
</file>

<file path=xl/worksheets/sheet2.xml><?xml version="1.0" encoding="utf-8"?>
<worksheet xmlns="http://schemas.openxmlformats.org/spreadsheetml/2006/main">
  <sheetPr>
    <tabColor rgb="FF002060"/>
    <outlinePr summaryBelow="1" summaryRight="1"/>
    <pageSetUpPr/>
  </sheetPr>
  <dimension ref="A2:E48"/>
  <sheetViews>
    <sheetView showGridLines="0" workbookViewId="0">
      <pane xSplit="2" ySplit="4" topLeftCell="C5" activePane="bottomRight" state="frozen"/>
      <selection pane="topRight" activeCell="A1" sqref="A1"/>
      <selection pane="bottomLeft" activeCell="A1" sqref="A1"/>
      <selection pane="bottomRight" activeCell="H13" sqref="H13"/>
    </sheetView>
  </sheetViews>
  <sheetFormatPr baseColWidth="8" defaultRowHeight="16.5"/>
  <cols>
    <col width="3" customWidth="1" style="276" min="1" max="1"/>
    <col width="16" customWidth="1" style="276" min="2" max="2"/>
    <col width="34" customWidth="1" style="276" min="3" max="3"/>
    <col width="16" customWidth="1" style="276" min="4" max="4"/>
    <col width="34" customWidth="1" style="276" min="5" max="5"/>
  </cols>
  <sheetData>
    <row r="2" ht="20.25" customHeight="1" s="276">
      <c r="A2" s="9" t="inlineStr">
        <is>
          <t>회사 개요 및 연혁</t>
        </is>
      </c>
    </row>
    <row r="3">
      <c r="A3" s="2" t="inlineStr">
        <is>
          <t>출처: 제10기 반기보고서(2026.08.14)</t>
        </is>
      </c>
    </row>
    <row r="5">
      <c r="B5" s="278" t="inlineStr">
        <is>
          <t>구분</t>
        </is>
      </c>
      <c r="C5" s="278" t="inlineStr">
        <is>
          <t>내용</t>
        </is>
      </c>
      <c r="D5" s="278" t="inlineStr">
        <is>
          <t>구분</t>
        </is>
      </c>
      <c r="E5" s="278" t="inlineStr">
        <is>
          <t>내용</t>
        </is>
      </c>
    </row>
    <row r="6">
      <c r="B6" s="5" t="inlineStr">
        <is>
          <t>회사명</t>
        </is>
      </c>
      <c r="C6" s="6" t="inlineStr">
        <is>
          <t>엔젤로보틱스 주식회사</t>
        </is>
      </c>
      <c r="D6" s="5" t="inlineStr">
        <is>
          <t>종목코드</t>
        </is>
      </c>
      <c r="E6" s="6" t="inlineStr">
        <is>
          <t>455900 (코스닥)</t>
        </is>
      </c>
    </row>
    <row r="7">
      <c r="B7" s="5" t="inlineStr">
        <is>
          <t>설립일</t>
        </is>
      </c>
      <c r="C7" s="6" t="inlineStr">
        <is>
          <t>2017년 2월 (구 ㈜에스지로보틱스)</t>
        </is>
      </c>
      <c r="D7" s="5" t="inlineStr">
        <is>
          <t>상장일</t>
        </is>
      </c>
      <c r="E7" s="6" t="inlineStr">
        <is>
          <t>2024년 3월 26일</t>
        </is>
      </c>
    </row>
    <row r="8">
      <c r="B8" s="5" t="inlineStr">
        <is>
          <t>상장방식</t>
        </is>
      </c>
      <c r="C8" s="6" t="inlineStr">
        <is>
          <t>기술성장기업 특례상장</t>
        </is>
      </c>
      <c r="D8" s="5" t="inlineStr">
        <is>
          <t>인수인</t>
        </is>
      </c>
      <c r="E8" s="6" t="inlineStr">
        <is>
          <t>NH투자증권</t>
        </is>
      </c>
    </row>
    <row r="9">
      <c r="B9" s="5" t="inlineStr">
        <is>
          <t>대표이사</t>
        </is>
      </c>
      <c r="C9" s="6" t="inlineStr">
        <is>
          <t>조남민 (2024.10 선임)</t>
        </is>
      </c>
      <c r="D9" s="5" t="inlineStr">
        <is>
          <t>이사회 의장/CTO</t>
        </is>
      </c>
      <c r="E9" s="6" t="inlineStr">
        <is>
          <t>공경철 (창업자)</t>
        </is>
      </c>
    </row>
    <row r="10">
      <c r="B10" s="5" t="inlineStr">
        <is>
          <t>자본금</t>
        </is>
      </c>
      <c r="C10" s="6" t="inlineStr">
        <is>
          <t>7,696,490,500원</t>
        </is>
      </c>
      <c r="D10" s="5" t="inlineStr">
        <is>
          <t>액면가</t>
        </is>
      </c>
      <c r="E10" s="6" t="inlineStr">
        <is>
          <t>500원</t>
        </is>
      </c>
    </row>
    <row r="11">
      <c r="B11" s="5" t="inlineStr">
        <is>
          <t>발행주식총수</t>
        </is>
      </c>
      <c r="C11" s="6" t="inlineStr">
        <is>
          <t>15,392,981주</t>
        </is>
      </c>
      <c r="D11" s="5" t="inlineStr">
        <is>
          <t>발행할 주식의 총수</t>
        </is>
      </c>
      <c r="E11" s="6" t="inlineStr">
        <is>
          <t>100,000,000주</t>
        </is>
      </c>
    </row>
    <row r="12">
      <c r="B12" s="5" t="inlineStr">
        <is>
          <t>본점</t>
        </is>
      </c>
      <c r="C12" s="6" t="inlineStr">
        <is>
          <t>서울 광진구 광나루로56길 85 테크노마트21</t>
        </is>
      </c>
      <c r="D12" s="5" t="inlineStr">
        <is>
          <t>감사인</t>
        </is>
      </c>
      <c r="E12" s="6" t="inlineStr">
        <is>
          <t>신한회계법인</t>
        </is>
      </c>
    </row>
    <row r="13" ht="24" customHeight="1" s="276">
      <c r="B13" s="5" t="inlineStr">
        <is>
          <t>사업장</t>
        </is>
      </c>
      <c r="C13" s="6" t="inlineStr">
        <is>
          <t>플래닛하남(생산, 24.04) / 플래닛대전(연구, 24.07)</t>
        </is>
      </c>
      <c r="D13" s="5" t="inlineStr">
        <is>
          <t>종속회사</t>
        </is>
      </c>
      <c r="E13" s="6" t="inlineStr">
        <is>
          <t>없음 (별도 기준)</t>
        </is>
      </c>
    </row>
    <row r="14" ht="24" customHeight="1" s="276">
      <c r="B14" s="5" t="inlineStr">
        <is>
          <t>주요사업</t>
        </is>
      </c>
      <c r="C14" s="6" t="inlineStr">
        <is>
          <t>지능형 웨어러블 로봇 개발·제조·판매 및 국가연구개발 용역</t>
        </is>
      </c>
      <c r="D14" s="5" t="n"/>
      <c r="E14" s="6" t="n"/>
    </row>
    <row r="17">
      <c r="B17" s="10" t="inlineStr">
        <is>
          <t>주요 연혁</t>
        </is>
      </c>
    </row>
    <row r="18">
      <c r="B18" s="278" t="inlineStr">
        <is>
          <t>시기</t>
        </is>
      </c>
      <c r="C18" s="278" t="inlineStr">
        <is>
          <t>내용</t>
        </is>
      </c>
      <c r="D18" s="278" t="inlineStr">
        <is>
          <t>구분</t>
        </is>
      </c>
      <c r="E18" s="279" t="n"/>
    </row>
    <row r="19">
      <c r="B19" s="11" t="inlineStr">
        <is>
          <t>2017.02</t>
        </is>
      </c>
      <c r="C19" s="6" t="inlineStr">
        <is>
          <t>㈜에스지로보틱스 설립</t>
        </is>
      </c>
      <c r="D19" s="12" t="inlineStr">
        <is>
          <t>회사설립</t>
        </is>
      </c>
    </row>
    <row r="20">
      <c r="B20" s="11" t="inlineStr">
        <is>
          <t>2017.05</t>
        </is>
      </c>
      <c r="C20" s="6" t="inlineStr">
        <is>
          <t>LG전자 보통주 투자 유치</t>
        </is>
      </c>
      <c r="D20" s="12" t="inlineStr">
        <is>
          <t>투자유치</t>
        </is>
      </c>
    </row>
    <row r="21">
      <c r="B21" s="11" t="inlineStr">
        <is>
          <t>2018.02</t>
        </is>
      </c>
      <c r="C21" s="6" t="inlineStr">
        <is>
          <t>워크온슈트 평창 패럴림픽 성화봉송 지원</t>
        </is>
      </c>
      <c r="D21" s="12" t="inlineStr">
        <is>
          <t>경영활동</t>
        </is>
      </c>
    </row>
    <row r="22">
      <c r="B22" s="11" t="inlineStr">
        <is>
          <t>2018.09</t>
        </is>
      </c>
      <c r="C22" s="6" t="inlineStr">
        <is>
          <t>㈜엔젤로보틱스 사명 변경</t>
        </is>
      </c>
      <c r="D22" s="12" t="inlineStr">
        <is>
          <t>사명변경</t>
        </is>
      </c>
    </row>
    <row r="23">
      <c r="B23" s="11" t="inlineStr">
        <is>
          <t>2019.09</t>
        </is>
      </c>
      <c r="C23" s="6" t="inlineStr">
        <is>
          <t>의료기기 GMP 적합인정 획득</t>
        </is>
      </c>
      <c r="D23" s="12" t="inlineStr">
        <is>
          <t>인증</t>
        </is>
      </c>
    </row>
    <row r="24">
      <c r="B24" s="11" t="inlineStr">
        <is>
          <t>2020.01</t>
        </is>
      </c>
      <c r="C24" s="6" t="inlineStr">
        <is>
          <t>Series A 97억원 투자 유치</t>
        </is>
      </c>
      <c r="D24" s="12" t="inlineStr">
        <is>
          <t>투자유치</t>
        </is>
      </c>
    </row>
    <row r="25">
      <c r="B25" s="11" t="inlineStr">
        <is>
          <t>2020.09</t>
        </is>
      </c>
      <c r="C25" s="6" t="inlineStr">
        <is>
          <t>엔젤렉스 M10 세브란스 재활병원 납품</t>
        </is>
      </c>
      <c r="D25" s="12" t="inlineStr">
        <is>
          <t>경영활동</t>
        </is>
      </c>
    </row>
    <row r="26">
      <c r="B26" s="11" t="inlineStr">
        <is>
          <t>2020.11</t>
        </is>
      </c>
      <c r="C26" s="6" t="inlineStr">
        <is>
          <t>제2회 사이배슬론 전동형 외골격 금메달·동메달</t>
        </is>
      </c>
      <c r="D26" s="12" t="inlineStr">
        <is>
          <t>수상</t>
        </is>
      </c>
    </row>
    <row r="27">
      <c r="B27" s="11" t="inlineStr">
        <is>
          <t>2021.07</t>
        </is>
      </c>
      <c r="C27" s="6" t="inlineStr">
        <is>
          <t>Series B 180억원 투자 유치</t>
        </is>
      </c>
      <c r="D27" s="12" t="inlineStr">
        <is>
          <t>투자유치</t>
        </is>
      </c>
    </row>
    <row r="28">
      <c r="B28" s="11" t="inlineStr">
        <is>
          <t>2021.08</t>
        </is>
      </c>
      <c r="C28" s="6" t="inlineStr">
        <is>
          <t>엔젤렉스 M20 9개 병원 납품</t>
        </is>
      </c>
      <c r="D28" s="12" t="inlineStr">
        <is>
          <t>경영활동</t>
        </is>
      </c>
    </row>
    <row r="29">
      <c r="B29" s="11" t="inlineStr">
        <is>
          <t>2022.05</t>
        </is>
      </c>
      <c r="C29" s="6" t="inlineStr">
        <is>
          <t>말레이시아 UiTM 의과대학 전략적 협약(MOA)</t>
        </is>
      </c>
      <c r="D29" s="12" t="inlineStr">
        <is>
          <t>협약체결</t>
        </is>
      </c>
    </row>
    <row r="30" ht="24" customHeight="1" s="276">
      <c r="B30" s="11" t="inlineStr">
        <is>
          <t>2022.08</t>
        </is>
      </c>
      <c r="C30" s="6" t="inlineStr">
        <is>
          <t>ISO 9001·13485 인증 / ANGEL X 출시·육군 우수상용품</t>
        </is>
      </c>
      <c r="D30" s="12" t="inlineStr">
        <is>
          <t>인증</t>
        </is>
      </c>
    </row>
    <row r="31" ht="24" customHeight="1" s="276">
      <c r="B31" s="11" t="inlineStr">
        <is>
          <t>2022.12</t>
        </is>
      </c>
      <c r="C31" s="6" t="inlineStr">
        <is>
          <t>ANGEL X 미국 FDA 등록 / 엔젤렉스 M20 의료기기 3등급 품목허가</t>
        </is>
      </c>
      <c r="D31" s="12" t="inlineStr">
        <is>
          <t>인증</t>
        </is>
      </c>
    </row>
    <row r="32">
      <c r="B32" s="11" t="inlineStr">
        <is>
          <t>2023.08</t>
        </is>
      </c>
      <c r="C32" s="6" t="inlineStr">
        <is>
          <t>Series C 100억원 투자 유치</t>
        </is>
      </c>
      <c r="D32" s="12" t="inlineStr">
        <is>
          <t>투자유치</t>
        </is>
      </c>
    </row>
    <row r="33">
      <c r="B33" s="11" t="inlineStr">
        <is>
          <t>2023.09</t>
        </is>
      </c>
      <c r="C33" s="6" t="inlineStr">
        <is>
          <t>LIG넥스원 웨어러블 로봇 실용화 양해각서</t>
        </is>
      </c>
      <c r="D33" s="12" t="inlineStr">
        <is>
          <t>협약체결</t>
        </is>
      </c>
    </row>
    <row r="34" ht="24" customHeight="1" s="276">
      <c r="B34" s="11" t="inlineStr">
        <is>
          <t>2023.12</t>
        </is>
      </c>
      <c r="C34" s="6" t="inlineStr">
        <is>
          <t>산업통상자원부 산업기술 대표 성과 10선 (워크온슈트)</t>
        </is>
      </c>
      <c r="D34" s="12" t="inlineStr">
        <is>
          <t>수상선정</t>
        </is>
      </c>
    </row>
    <row r="35">
      <c r="B35" s="11" t="inlineStr">
        <is>
          <t>2024.03</t>
        </is>
      </c>
      <c r="C35" s="6" t="inlineStr">
        <is>
          <t>코스닥시장 상장 (공모가 20,000원)</t>
        </is>
      </c>
      <c r="D35" s="12" t="inlineStr">
        <is>
          <t>상장</t>
        </is>
      </c>
    </row>
    <row r="36">
      <c r="B36" s="11" t="inlineStr">
        <is>
          <t>2024.04</t>
        </is>
      </c>
      <c r="C36" s="6" t="inlineStr">
        <is>
          <t>플래닛하남 생산시설 개소</t>
        </is>
      </c>
      <c r="D36" s="12" t="inlineStr">
        <is>
          <t>지점개소</t>
        </is>
      </c>
    </row>
    <row r="37">
      <c r="B37" s="11" t="inlineStr">
        <is>
          <t>2024.06</t>
        </is>
      </c>
      <c r="C37" s="6" t="inlineStr">
        <is>
          <t>angel GEAR 독일 레드닷 디자인 어워드 수상</t>
        </is>
      </c>
      <c r="D37" s="12" t="inlineStr">
        <is>
          <t>수상선정</t>
        </is>
      </c>
    </row>
    <row r="38" ht="24" customHeight="1" s="276">
      <c r="B38" s="11" t="inlineStr">
        <is>
          <t>2024.07</t>
        </is>
      </c>
      <c r="C38" s="6" t="inlineStr">
        <is>
          <t>JAMA Network Open 논문 게재 / ㈜패러데이다이나믹스 지분투자</t>
        </is>
      </c>
      <c r="D38" s="12" t="inlineStr">
        <is>
          <t>경영활동</t>
        </is>
      </c>
    </row>
    <row r="39">
      <c r="B39" s="11" t="inlineStr">
        <is>
          <t>2024.07</t>
        </is>
      </c>
      <c r="C39" s="6" t="inlineStr">
        <is>
          <t>플래닛대전 선행연구소 개소</t>
        </is>
      </c>
      <c r="D39" s="12" t="inlineStr">
        <is>
          <t>지점개소</t>
        </is>
      </c>
    </row>
    <row r="40" ht="24" customHeight="1" s="276">
      <c r="B40" s="11" t="inlineStr">
        <is>
          <t>2024.10</t>
        </is>
      </c>
      <c r="C40" s="6" t="inlineStr">
        <is>
          <t>조남민 대표이사 선임 / 제3회 사이배슬론 금메달 (2연패)</t>
        </is>
      </c>
      <c r="D40" s="12" t="inlineStr">
        <is>
          <t>수상선정</t>
        </is>
      </c>
    </row>
    <row r="41" ht="24" customHeight="1" s="276">
      <c r="B41" s="11" t="inlineStr">
        <is>
          <t>2025.05</t>
        </is>
      </c>
      <c r="C41" s="6" t="inlineStr">
        <is>
          <t>LIG넥스원 국방용 웨어러블 로봇 기술개발 협력계약</t>
        </is>
      </c>
      <c r="D41" s="12" t="inlineStr">
        <is>
          <t>수주</t>
        </is>
      </c>
    </row>
    <row r="42" ht="24" customHeight="1" s="276">
      <c r="B42" s="11" t="inlineStr">
        <is>
          <t>2025.06</t>
        </is>
      </c>
      <c r="C42" s="6" t="inlineStr">
        <is>
          <t>angel SUIT H10 출시 / 엔젤렉스 M20 태국 TFDA 인증</t>
        </is>
      </c>
      <c r="D42" s="12" t="inlineStr">
        <is>
          <t>인증</t>
        </is>
      </c>
    </row>
    <row r="43">
      <c r="B43" s="11" t="inlineStr">
        <is>
          <t>2025.07</t>
        </is>
      </c>
      <c r="C43" s="6" t="inlineStr">
        <is>
          <t>엔젤렉스 M20 베트남 보건복지부 인증</t>
        </is>
      </c>
      <c r="D43" s="12" t="inlineStr">
        <is>
          <t>인증</t>
        </is>
      </c>
    </row>
    <row r="44">
      <c r="B44" s="11" t="inlineStr">
        <is>
          <t>2025.09</t>
        </is>
      </c>
      <c r="C44" s="6" t="inlineStr">
        <is>
          <t>하나금융그룹 미래전략산업 공동발굴 업무협약</t>
        </is>
      </c>
      <c r="D44" s="12" t="inlineStr">
        <is>
          <t>협약체결</t>
        </is>
      </c>
    </row>
    <row r="45" ht="24" customHeight="1" s="276">
      <c r="B45" s="11" t="inlineStr">
        <is>
          <t>2025.12</t>
        </is>
      </c>
      <c r="C45" s="6" t="inlineStr">
        <is>
          <t>말레이시아 MDA 인증 / 범부처 의료기기 R&amp;D 어워즈 이사장상</t>
        </is>
      </c>
      <c r="D45" s="12" t="inlineStr">
        <is>
          <t>인증·수상</t>
        </is>
      </c>
    </row>
    <row r="46">
      <c r="B46" s="11" t="inlineStr">
        <is>
          <t>2026.01</t>
        </is>
      </c>
      <c r="C46" s="6" t="inlineStr">
        <is>
          <t>엔젤렉스 M20 말레이시아 공식 출시</t>
        </is>
      </c>
      <c r="D46" s="12" t="inlineStr">
        <is>
          <t>제품수출</t>
        </is>
      </c>
    </row>
    <row r="47" ht="24" customHeight="1" s="276">
      <c r="B47" s="11" t="inlineStr">
        <is>
          <t>2026.03</t>
        </is>
      </c>
      <c r="C47" s="6" t="inlineStr">
        <is>
          <t>파이낸셜타임즈 '아시아태평양 고성장 기업 500' 선정</t>
        </is>
      </c>
      <c r="D47" s="12" t="inlineStr">
        <is>
          <t>수상선정</t>
        </is>
      </c>
    </row>
    <row r="48">
      <c r="B48" s="11" t="inlineStr">
        <is>
          <t>2026.06</t>
        </is>
      </c>
      <c r="C48" s="6" t="inlineStr">
        <is>
          <t>범부처 '브레인 투 로봇' 개발 과제 주관기관 선정</t>
        </is>
      </c>
      <c r="D48" s="12" t="inlineStr">
        <is>
          <t>국가과제</t>
        </is>
      </c>
    </row>
  </sheetData>
  <mergeCells count="1">
    <mergeCell ref="D18:E18"/>
  </mergeCells>
  <pageMargins left="0.75" right="0.75" top="1" bottom="1" header="0.5" footer="0.5"/>
  <pageSetup orientation="landscape"/>
</worksheet>
</file>

<file path=xl/worksheets/sheet3.xml><?xml version="1.0" encoding="utf-8"?>
<worksheet xmlns="http://schemas.openxmlformats.org/spreadsheetml/2006/main">
  <sheetPr>
    <tabColor rgb="FF002060"/>
    <outlinePr summaryBelow="1" summaryRight="1"/>
    <pageSetUpPr/>
  </sheetPr>
  <dimension ref="A2:F47"/>
  <sheetViews>
    <sheetView showGridLines="0" workbookViewId="0">
      <pane xSplit="2" ySplit="4" topLeftCell="C32" activePane="bottomRight" state="frozen"/>
      <selection pane="topRight" activeCell="A1" sqref="A1"/>
      <selection pane="bottomLeft" activeCell="A1" sqref="A1"/>
      <selection pane="bottomRight" activeCell="A1" sqref="A1"/>
    </sheetView>
  </sheetViews>
  <sheetFormatPr baseColWidth="8" defaultRowHeight="16.5"/>
  <cols>
    <col width="3" customWidth="1" style="276" min="1" max="1"/>
    <col width="14" customWidth="1" style="276" min="2" max="2"/>
    <col width="22" customWidth="1" style="276" min="3" max="3"/>
    <col width="14" customWidth="1" style="276" min="4" max="4"/>
    <col width="12" customWidth="1" style="276" min="5" max="5"/>
    <col width="56" customWidth="1" style="276" min="6" max="6"/>
  </cols>
  <sheetData>
    <row r="2" ht="20.25" customHeight="1" s="276">
      <c r="A2" s="9" t="inlineStr">
        <is>
          <t>주주 현황 및 경영진</t>
        </is>
      </c>
    </row>
    <row r="3">
      <c r="A3" s="2" t="inlineStr">
        <is>
          <t>기준일 2026.06.30 / 출처: 제10기 반기보고서</t>
        </is>
      </c>
    </row>
    <row r="5">
      <c r="B5" s="10" t="inlineStr">
        <is>
          <t>최대주주 및 특수관계인</t>
        </is>
      </c>
    </row>
    <row r="6">
      <c r="B6" s="278" t="inlineStr">
        <is>
          <t>성명</t>
        </is>
      </c>
      <c r="C6" s="278" t="inlineStr">
        <is>
          <t>관계</t>
        </is>
      </c>
      <c r="D6" s="278" t="inlineStr">
        <is>
          <t>주식수(주)</t>
        </is>
      </c>
      <c r="E6" s="278" t="inlineStr">
        <is>
          <t>지분율</t>
        </is>
      </c>
      <c r="F6" s="278" t="n"/>
    </row>
    <row r="7">
      <c r="B7" s="13" t="inlineStr">
        <is>
          <t>공경철</t>
        </is>
      </c>
      <c r="C7" s="13" t="inlineStr">
        <is>
          <t>본인 (이사회 의장/CTO)</t>
        </is>
      </c>
      <c r="D7" s="332" t="n">
        <v>3467560</v>
      </c>
      <c r="E7" s="333" t="n">
        <v>0.2256</v>
      </c>
    </row>
    <row r="8">
      <c r="B8" s="13" t="inlineStr">
        <is>
          <t>나동욱</t>
        </is>
      </c>
      <c r="C8" s="13" t="inlineStr">
        <is>
          <t>임원 (임상총괄)</t>
        </is>
      </c>
      <c r="D8" s="332" t="n">
        <v>475680</v>
      </c>
      <c r="E8" s="333" t="n">
        <v>0.0309</v>
      </c>
    </row>
    <row r="9">
      <c r="B9" s="13" t="inlineStr">
        <is>
          <t>정성훈</t>
        </is>
      </c>
      <c r="C9" s="13" t="inlineStr">
        <is>
          <t>기타 (공동목적보유확약)</t>
        </is>
      </c>
      <c r="D9" s="332" t="n">
        <v>281600</v>
      </c>
      <c r="E9" s="333" t="n">
        <v>0.0183</v>
      </c>
    </row>
    <row r="10">
      <c r="B10" s="16" t="inlineStr">
        <is>
          <t>합계</t>
        </is>
      </c>
      <c r="C10" s="16" t="inlineStr">
        <is>
          <t>-</t>
        </is>
      </c>
      <c r="D10" s="334">
        <f>SUM(D7:D9)</f>
        <v/>
      </c>
      <c r="E10" s="335">
        <f>SUM(E7:E9)</f>
        <v/>
      </c>
    </row>
    <row r="12">
      <c r="B12" s="10" t="inlineStr">
        <is>
          <t>주식 소유현황</t>
        </is>
      </c>
    </row>
    <row r="13">
      <c r="B13" s="278" t="inlineStr">
        <is>
          <t>구분</t>
        </is>
      </c>
      <c r="C13" s="278" t="inlineStr">
        <is>
          <t>주주명</t>
        </is>
      </c>
      <c r="D13" s="278" t="inlineStr">
        <is>
          <t>주식수(주)</t>
        </is>
      </c>
      <c r="E13" s="278" t="inlineStr">
        <is>
          <t>지분율</t>
        </is>
      </c>
      <c r="F13" s="278" t="n"/>
    </row>
    <row r="14">
      <c r="B14" s="19" t="inlineStr">
        <is>
          <t>5% 이상 주주</t>
        </is>
      </c>
      <c r="C14" s="19" t="inlineStr">
        <is>
          <t>공경철</t>
        </is>
      </c>
      <c r="D14" s="332" t="n">
        <v>3467560</v>
      </c>
      <c r="E14" s="333" t="n">
        <v>0.2256</v>
      </c>
    </row>
    <row r="15">
      <c r="B15" s="19" t="inlineStr">
        <is>
          <t>5% 이상 주주</t>
        </is>
      </c>
      <c r="C15" s="19" t="inlineStr">
        <is>
          <t>LG전자 주식회사</t>
        </is>
      </c>
      <c r="D15" s="332" t="n">
        <v>960000</v>
      </c>
      <c r="E15" s="333" t="n">
        <v>0.0624</v>
      </c>
    </row>
    <row r="16">
      <c r="B16" s="19" t="inlineStr">
        <is>
          <t>우리사주조합</t>
        </is>
      </c>
      <c r="C16" s="19" t="inlineStr">
        <is>
          <t>우리사주조합</t>
        </is>
      </c>
      <c r="D16" s="332" t="n">
        <v>119719</v>
      </c>
      <c r="E16" s="333" t="n">
        <v>0.0078</v>
      </c>
    </row>
    <row r="17">
      <c r="B17" s="19" t="inlineStr">
        <is>
          <t>소액주주</t>
        </is>
      </c>
      <c r="C17" s="19" t="inlineStr">
        <is>
          <t>69,348명</t>
        </is>
      </c>
      <c r="D17" s="332" t="n">
        <v>8730773</v>
      </c>
      <c r="E17" s="333" t="n">
        <v>0.5679999999999999</v>
      </c>
    </row>
    <row r="18">
      <c r="B18" s="20" t="inlineStr">
        <is>
          <t>발행주식총수</t>
        </is>
      </c>
      <c r="C18" s="20" t="inlineStr">
        <is>
          <t>-</t>
        </is>
      </c>
      <c r="D18" s="336" t="n">
        <v>15392981</v>
      </c>
      <c r="E18" s="337" t="n">
        <v>1</v>
      </c>
    </row>
    <row r="20">
      <c r="A20" s="23" t="inlineStr">
        <is>
          <t>주1) 최대주주 등은 코스닥 상장규정상 의무보유 1년을 거래소 협의를 통해 3년으로 자발 연장 (미행사 주식매수선택권은 1년 6개월)</t>
        </is>
      </c>
    </row>
    <row r="21">
      <c r="A21" s="23" t="inlineStr">
        <is>
          <t>주2) 설립 이후 최대주주 변동 없음 / 서강대학교산학협력단 2.28%, 연세대학교의료원산학협력단 0.29% 보유 (상장 시점 기준, 출처: 유진투자증권)</t>
        </is>
      </c>
    </row>
    <row r="24">
      <c r="B24" s="10" t="inlineStr">
        <is>
          <t>주요 경영진</t>
        </is>
      </c>
    </row>
    <row r="25">
      <c r="B25" s="278" t="inlineStr">
        <is>
          <t>성명</t>
        </is>
      </c>
      <c r="C25" s="278" t="inlineStr">
        <is>
          <t>직위</t>
        </is>
      </c>
      <c r="D25" s="278" t="inlineStr">
        <is>
          <t>선임</t>
        </is>
      </c>
      <c r="E25" s="278" t="inlineStr">
        <is>
          <t>구분</t>
        </is>
      </c>
      <c r="F25" s="278" t="inlineStr">
        <is>
          <t>주요 경력</t>
        </is>
      </c>
    </row>
    <row r="26" ht="24" customHeight="1" s="276">
      <c r="B26" s="24" t="inlineStr">
        <is>
          <t>조남민</t>
        </is>
      </c>
      <c r="C26" s="25" t="inlineStr">
        <is>
          <t>대표이사 (CEO)</t>
        </is>
      </c>
      <c r="D26" s="25" t="inlineStr">
        <is>
          <t>2024.10</t>
        </is>
      </c>
      <c r="E26" s="25" t="inlineStr">
        <is>
          <t>사내이사</t>
        </is>
      </c>
      <c r="F26" s="8" t="inlineStr">
        <is>
          <t>Medtronic Sr. Sales executive, ZimmerBiomet APAC Business Manager, Philips Korea GM, Trackman Greater Asia CEO</t>
        </is>
      </c>
    </row>
    <row r="27">
      <c r="B27" s="24" t="inlineStr">
        <is>
          <t>공경철</t>
        </is>
      </c>
      <c r="C27" s="25" t="inlineStr">
        <is>
          <t>이사회 의장/CTO</t>
        </is>
      </c>
      <c r="D27" s="25" t="inlineStr">
        <is>
          <t>2017.02</t>
        </is>
      </c>
      <c r="E27" s="25" t="inlineStr">
        <is>
          <t>사내이사</t>
        </is>
      </c>
      <c r="F27" s="8" t="inlineStr">
        <is>
          <t>UC Berkeley 기계공학 박사, 서강대 부교수, KAIST 기계공학과 교수</t>
        </is>
      </c>
    </row>
    <row r="28">
      <c r="B28" s="24" t="inlineStr">
        <is>
          <t>나동욱</t>
        </is>
      </c>
      <c r="C28" s="25" t="inlineStr">
        <is>
          <t>이사 (임상총괄)</t>
        </is>
      </c>
      <c r="D28" s="25" t="inlineStr">
        <is>
          <t>2017.02</t>
        </is>
      </c>
      <c r="E28" s="25" t="inlineStr">
        <is>
          <t>미등기</t>
        </is>
      </c>
      <c r="F28" s="8" t="inlineStr">
        <is>
          <t>연세대 의대 재활의학 교수, 융합의학과 겸임교수</t>
        </is>
      </c>
    </row>
    <row r="29">
      <c r="B29" s="24" t="inlineStr">
        <is>
          <t>이수찬</t>
        </is>
      </c>
      <c r="C29" s="25" t="inlineStr">
        <is>
          <t>이사 (마케팅총괄)</t>
        </is>
      </c>
      <c r="D29" s="25" t="inlineStr">
        <is>
          <t>2024.09</t>
        </is>
      </c>
      <c r="E29" s="25" t="inlineStr">
        <is>
          <t>미등기</t>
        </is>
      </c>
      <c r="F29" s="8" t="inlineStr">
        <is>
          <t>삼성전자, 현대오일뱅크, LG전자, 디케이메디칼시스템</t>
        </is>
      </c>
    </row>
    <row r="30">
      <c r="B30" s="24" t="inlineStr">
        <is>
          <t>황상탁</t>
        </is>
      </c>
      <c r="C30" s="25" t="inlineStr">
        <is>
          <t>이사 (인사총괄)</t>
        </is>
      </c>
      <c r="D30" s="25" t="inlineStr">
        <is>
          <t>2025.11</t>
        </is>
      </c>
      <c r="E30" s="25" t="inlineStr">
        <is>
          <t>미등기</t>
        </is>
      </c>
      <c r="F30" s="8" t="inlineStr">
        <is>
          <t>LG Display, SK Telecom, NCSOFT, 한국아스텔라스 이사</t>
        </is>
      </c>
    </row>
    <row r="31">
      <c r="B31" s="24" t="inlineStr">
        <is>
          <t>김주민</t>
        </is>
      </c>
      <c r="C31" s="25" t="inlineStr">
        <is>
          <t>이사 (영업총괄)</t>
        </is>
      </c>
      <c r="D31" s="25" t="inlineStr">
        <is>
          <t>2026.02</t>
        </is>
      </c>
      <c r="E31" s="25" t="inlineStr">
        <is>
          <t>미등기</t>
        </is>
      </c>
      <c r="F31" s="8" t="inlineStr">
        <is>
          <t>한국존슨앤존슨메디칼, 메드트로닉코리아 이사 (22년)</t>
        </is>
      </c>
    </row>
    <row r="32">
      <c r="B32" s="24" t="inlineStr">
        <is>
          <t>장호식</t>
        </is>
      </c>
      <c r="C32" s="25" t="inlineStr">
        <is>
          <t>이사 (품질총괄)</t>
        </is>
      </c>
      <c r="D32" s="25" t="inlineStr">
        <is>
          <t>2026.03</t>
        </is>
      </c>
      <c r="E32" s="25" t="inlineStr">
        <is>
          <t>미등기</t>
        </is>
      </c>
      <c r="F32" s="8" t="inlineStr">
        <is>
          <t>지멘스 헬시니어스 이사, 고영테크놀러지 상무</t>
        </is>
      </c>
    </row>
    <row r="33">
      <c r="B33" s="24" t="inlineStr">
        <is>
          <t>정동선</t>
        </is>
      </c>
      <c r="C33" s="25" t="inlineStr">
        <is>
          <t>이사 (재무총괄)</t>
        </is>
      </c>
      <c r="D33" s="25" t="inlineStr">
        <is>
          <t>2026.04</t>
        </is>
      </c>
      <c r="E33" s="25" t="inlineStr">
        <is>
          <t>미등기</t>
        </is>
      </c>
      <c r="F33" s="8" t="inlineStr">
        <is>
          <t>한영회계법인 Manager, 이지홀딩스, 한울회계법인 회계사</t>
        </is>
      </c>
    </row>
    <row r="34">
      <c r="B34" s="24" t="inlineStr">
        <is>
          <t>김문성</t>
        </is>
      </c>
      <c r="C34" s="25" t="inlineStr">
        <is>
          <t>독립이사</t>
        </is>
      </c>
      <c r="D34" s="25" t="inlineStr">
        <is>
          <t>2022.05</t>
        </is>
      </c>
      <c r="E34" s="25" t="inlineStr">
        <is>
          <t>독립이사</t>
        </is>
      </c>
      <c r="F34" s="8" t="inlineStr">
        <is>
          <t>의정부지방법원 부장판사, 법무법인 이제 변호사</t>
        </is>
      </c>
    </row>
    <row r="35">
      <c r="B35" s="24" t="inlineStr">
        <is>
          <t>김미현</t>
        </is>
      </c>
      <c r="C35" s="25" t="inlineStr">
        <is>
          <t>독립이사</t>
        </is>
      </c>
      <c r="D35" s="25" t="inlineStr">
        <is>
          <t>2024.10</t>
        </is>
      </c>
      <c r="E35" s="25" t="inlineStr">
        <is>
          <t>독립이사</t>
        </is>
      </c>
      <c r="F35" s="8" t="inlineStr">
        <is>
          <t>사법시험·행정고시 합격, 법무법인(유한)광장</t>
        </is>
      </c>
    </row>
    <row r="36">
      <c r="B36" s="24" t="inlineStr">
        <is>
          <t>김인숙</t>
        </is>
      </c>
      <c r="C36" s="25" t="inlineStr">
        <is>
          <t>감사</t>
        </is>
      </c>
      <c r="D36" s="25" t="inlineStr">
        <is>
          <t>2024.03</t>
        </is>
      </c>
      <c r="E36" s="25" t="inlineStr">
        <is>
          <t>감사</t>
        </is>
      </c>
      <c r="F36" s="8" t="inlineStr">
        <is>
          <t>삼일회계법인 공인회계사, 검사, KB증권 사외이사</t>
        </is>
      </c>
    </row>
    <row r="39">
      <c r="B39" s="10" t="inlineStr">
        <is>
          <t>미행사 주식매수선택권</t>
        </is>
      </c>
    </row>
    <row r="40">
      <c r="B40" s="278" t="inlineStr">
        <is>
          <t>회차</t>
        </is>
      </c>
      <c r="C40" s="278" t="inlineStr">
        <is>
          <t>잔여수량(주)</t>
        </is>
      </c>
      <c r="D40" s="278" t="inlineStr">
        <is>
          <t>행사가격(원)</t>
        </is>
      </c>
      <c r="E40" s="278" t="inlineStr">
        <is>
          <t>행사가능 개시</t>
        </is>
      </c>
      <c r="F40" s="278" t="inlineStr">
        <is>
          <t>현 주가 대비</t>
        </is>
      </c>
    </row>
    <row r="41">
      <c r="B41" s="26" t="inlineStr">
        <is>
          <t>8회차</t>
        </is>
      </c>
      <c r="C41" s="338" t="n">
        <v>125000</v>
      </c>
      <c r="D41" s="338" t="n">
        <v>8188</v>
      </c>
      <c r="E41" s="26" t="inlineStr">
        <is>
          <t>2024.11.16</t>
        </is>
      </c>
      <c r="F41" s="26" t="inlineStr">
        <is>
          <t>내가격</t>
        </is>
      </c>
    </row>
    <row r="42">
      <c r="B42" s="26" t="inlineStr">
        <is>
          <t>9회차</t>
        </is>
      </c>
      <c r="C42" s="338" t="n">
        <v>13500</v>
      </c>
      <c r="D42" s="338" t="n">
        <v>8188</v>
      </c>
      <c r="E42" s="26" t="inlineStr">
        <is>
          <t>2025.06.01</t>
        </is>
      </c>
      <c r="F42" s="26" t="inlineStr">
        <is>
          <t>내가격</t>
        </is>
      </c>
    </row>
    <row r="43">
      <c r="B43" s="26" t="inlineStr">
        <is>
          <t>10회차</t>
        </is>
      </c>
      <c r="C43" s="338" t="n">
        <v>22400</v>
      </c>
      <c r="D43" s="338" t="n">
        <v>8190</v>
      </c>
      <c r="E43" s="26" t="inlineStr">
        <is>
          <t>2026.04.01</t>
        </is>
      </c>
      <c r="F43" s="26" t="inlineStr">
        <is>
          <t>내가격</t>
        </is>
      </c>
    </row>
    <row r="44">
      <c r="B44" s="26" t="inlineStr">
        <is>
          <t>11회차</t>
        </is>
      </c>
      <c r="C44" s="338" t="n">
        <v>500000</v>
      </c>
      <c r="D44" s="338" t="n">
        <v>27069</v>
      </c>
      <c r="E44" s="26" t="inlineStr">
        <is>
          <t>2027.10.17</t>
        </is>
      </c>
      <c r="F44" s="26" t="inlineStr">
        <is>
          <t>외가격</t>
        </is>
      </c>
    </row>
    <row r="45">
      <c r="B45" s="26" t="inlineStr">
        <is>
          <t>12회차</t>
        </is>
      </c>
      <c r="C45" s="338" t="n">
        <v>253000</v>
      </c>
      <c r="D45" s="338" t="n">
        <v>28432</v>
      </c>
      <c r="E45" s="26" t="inlineStr">
        <is>
          <t>2029.04.01</t>
        </is>
      </c>
      <c r="F45" s="26" t="inlineStr">
        <is>
          <t>외가격</t>
        </is>
      </c>
    </row>
    <row r="46">
      <c r="B46" s="16" t="inlineStr">
        <is>
          <t>합계</t>
        </is>
      </c>
      <c r="C46" s="334">
        <f>SUM(C41:C45)</f>
        <v/>
      </c>
      <c r="D46" s="16" t="inlineStr">
        <is>
          <t>-</t>
        </is>
      </c>
      <c r="E46" s="16" t="inlineStr">
        <is>
          <t>-</t>
        </is>
      </c>
      <c r="F46" s="335">
        <f>C46/15392981</f>
        <v/>
      </c>
    </row>
    <row r="47">
      <c r="A47" s="23" t="inlineStr">
        <is>
          <t>주) 현 주가 대비 판정은 2026년 6월 평균 23,332원 기준</t>
        </is>
      </c>
    </row>
  </sheetData>
  <pageMargins left="0.75" right="0.75" top="1" bottom="1" header="0.5" footer="0.5"/>
  <pageSetup orientation="landscape"/>
</worksheet>
</file>

<file path=xl/worksheets/sheet4.xml><?xml version="1.0" encoding="utf-8"?>
<worksheet xmlns="http://schemas.openxmlformats.org/spreadsheetml/2006/main">
  <sheetPr>
    <tabColor rgb="FF002060"/>
    <outlinePr summaryBelow="1" summaryRight="1"/>
    <pageSetUpPr/>
  </sheetPr>
  <dimension ref="A2:J22"/>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6.5"/>
  <cols>
    <col width="3" customWidth="1" style="276" min="1" max="1"/>
    <col width="26" customWidth="1" style="276" min="2" max="2"/>
    <col width="13" customWidth="1" style="276" min="3" max="10"/>
  </cols>
  <sheetData>
    <row r="2" ht="20.25" customHeight="1" s="276">
      <c r="A2" s="9" t="inlineStr">
        <is>
          <t>손익계산서 추이 (K-IFRS 별도)</t>
        </is>
      </c>
    </row>
    <row r="3">
      <c r="A3" s="2" t="inlineStr">
        <is>
          <t>단위: 백만원 / 출처: 제10기 반기보고서, 제9기 사업보고서, SK증권·리딩투자증권</t>
        </is>
      </c>
    </row>
    <row r="5">
      <c r="B5" s="278" t="inlineStr">
        <is>
          <t>구분</t>
        </is>
      </c>
      <c r="C5" s="278" t="inlineStr">
        <is>
          <t>2020</t>
        </is>
      </c>
      <c r="D5" s="278" t="inlineStr">
        <is>
          <t>2021</t>
        </is>
      </c>
      <c r="E5" s="278" t="inlineStr">
        <is>
          <t>2022</t>
        </is>
      </c>
      <c r="F5" s="278" t="inlineStr">
        <is>
          <t>2023</t>
        </is>
      </c>
      <c r="G5" s="278" t="inlineStr">
        <is>
          <t>2024</t>
        </is>
      </c>
      <c r="H5" s="278" t="inlineStr">
        <is>
          <t>2025</t>
        </is>
      </c>
      <c r="I5" s="278" t="inlineStr">
        <is>
          <t>2025 반기</t>
        </is>
      </c>
      <c r="J5" s="278" t="inlineStr">
        <is>
          <t>2026 반기</t>
        </is>
      </c>
    </row>
    <row r="6">
      <c r="B6" s="16" t="inlineStr">
        <is>
          <t>매출액</t>
        </is>
      </c>
      <c r="C6" s="339" t="n">
        <v>209</v>
      </c>
      <c r="D6" s="339" t="n">
        <v>814</v>
      </c>
      <c r="E6" s="339" t="n">
        <v>2184</v>
      </c>
      <c r="F6" s="339" t="n">
        <v>5146</v>
      </c>
      <c r="G6" s="339" t="n">
        <v>4211</v>
      </c>
      <c r="H6" s="339" t="n">
        <v>4641</v>
      </c>
      <c r="I6" s="339" t="n">
        <v>2562</v>
      </c>
      <c r="J6" s="339" t="n">
        <v>1295</v>
      </c>
    </row>
    <row r="7">
      <c r="B7" s="13" t="inlineStr">
        <is>
          <t>매출원가</t>
        </is>
      </c>
      <c r="C7" s="338" t="n">
        <v>128</v>
      </c>
      <c r="D7" s="338" t="n">
        <v>564</v>
      </c>
      <c r="E7" s="338" t="n">
        <v>1182</v>
      </c>
      <c r="F7" s="338" t="n">
        <v>2379</v>
      </c>
      <c r="G7" s="338" t="n">
        <v>1702</v>
      </c>
      <c r="H7" s="338" t="n">
        <v>2030</v>
      </c>
      <c r="I7" s="338" t="n">
        <v>932</v>
      </c>
      <c r="J7" s="338" t="n">
        <v>512</v>
      </c>
    </row>
    <row r="8">
      <c r="B8" s="16" t="inlineStr">
        <is>
          <t>매출총이익</t>
        </is>
      </c>
      <c r="C8" s="340">
        <f>C6-C7</f>
        <v/>
      </c>
      <c r="D8" s="340">
        <f>D6-D7</f>
        <v/>
      </c>
      <c r="E8" s="340">
        <f>E6-E7</f>
        <v/>
      </c>
      <c r="F8" s="340">
        <f>F6-F7</f>
        <v/>
      </c>
      <c r="G8" s="340">
        <f>G6-G7</f>
        <v/>
      </c>
      <c r="H8" s="340">
        <f>H6-H7</f>
        <v/>
      </c>
      <c r="I8" s="340">
        <f>I6-I7</f>
        <v/>
      </c>
      <c r="J8" s="340">
        <f>J6-J7</f>
        <v/>
      </c>
    </row>
    <row r="9">
      <c r="B9" s="13" t="inlineStr">
        <is>
          <t>매출총이익률</t>
        </is>
      </c>
      <c r="C9" s="341">
        <f>IFERROR(C8/C6,"")</f>
        <v/>
      </c>
      <c r="D9" s="341">
        <f>IFERROR(D8/D6,"")</f>
        <v/>
      </c>
      <c r="E9" s="341">
        <f>IFERROR(E8/E6,"")</f>
        <v/>
      </c>
      <c r="F9" s="341">
        <f>IFERROR(F8/F6,"")</f>
        <v/>
      </c>
      <c r="G9" s="341">
        <f>IFERROR(G8/G6,"")</f>
        <v/>
      </c>
      <c r="H9" s="341">
        <f>IFERROR(H8/H6,"")</f>
        <v/>
      </c>
      <c r="I9" s="341">
        <f>IFERROR(I8/I6,"")</f>
        <v/>
      </c>
      <c r="J9" s="341">
        <f>IFERROR(J8/J6,"")</f>
        <v/>
      </c>
    </row>
    <row r="10">
      <c r="B10" s="13" t="inlineStr">
        <is>
          <t>판매비와관리비</t>
        </is>
      </c>
      <c r="C10" s="342">
        <f>C8-C11</f>
        <v/>
      </c>
      <c r="D10" s="342">
        <f>D8-D11</f>
        <v/>
      </c>
      <c r="E10" s="342">
        <f>E8-E11</f>
        <v/>
      </c>
      <c r="F10" s="342">
        <f>F8-F11</f>
        <v/>
      </c>
      <c r="G10" s="338" t="n">
        <v>13351</v>
      </c>
      <c r="H10" s="338" t="n">
        <v>12888</v>
      </c>
      <c r="I10" s="338" t="n">
        <v>6296</v>
      </c>
      <c r="J10" s="338" t="n">
        <v>6946</v>
      </c>
    </row>
    <row r="11">
      <c r="B11" s="16" t="inlineStr">
        <is>
          <t>영업이익(손실)</t>
        </is>
      </c>
      <c r="C11" s="339" t="n">
        <v>-2471</v>
      </c>
      <c r="D11" s="339" t="n">
        <v>-4829</v>
      </c>
      <c r="E11" s="339" t="n">
        <v>-7101</v>
      </c>
      <c r="F11" s="339" t="n">
        <v>-6497</v>
      </c>
      <c r="G11" s="339" t="n">
        <v>-10842</v>
      </c>
      <c r="H11" s="339" t="n">
        <v>-10276</v>
      </c>
      <c r="I11" s="339" t="n">
        <v>-4666</v>
      </c>
      <c r="J11" s="339" t="n">
        <v>-6163</v>
      </c>
    </row>
    <row r="12">
      <c r="B12" s="13" t="inlineStr">
        <is>
          <t>영업이익률</t>
        </is>
      </c>
      <c r="C12" s="341">
        <f>IFERROR(C11/C6,"")</f>
        <v/>
      </c>
      <c r="D12" s="341">
        <f>IFERROR(D11/D6,"")</f>
        <v/>
      </c>
      <c r="E12" s="341">
        <f>IFERROR(E11/E6,"")</f>
        <v/>
      </c>
      <c r="F12" s="341">
        <f>IFERROR(F11/F6,"")</f>
        <v/>
      </c>
      <c r="G12" s="341">
        <f>IFERROR(G11/G6,"")</f>
        <v/>
      </c>
      <c r="H12" s="341">
        <f>IFERROR(H11/H6,"")</f>
        <v/>
      </c>
      <c r="I12" s="341">
        <f>IFERROR(I11/I6,"")</f>
        <v/>
      </c>
      <c r="J12" s="341">
        <f>IFERROR(J11/J6,"")</f>
        <v/>
      </c>
    </row>
    <row r="13">
      <c r="B13" s="13" t="inlineStr">
        <is>
          <t xml:space="preserve">    금융수익</t>
        </is>
      </c>
      <c r="C13" s="343" t="n"/>
      <c r="D13" s="343" t="n"/>
      <c r="E13" s="343" t="n"/>
      <c r="F13" s="343" t="n"/>
      <c r="G13" s="338" t="n">
        <v>1041</v>
      </c>
      <c r="H13" s="338" t="n">
        <v>851</v>
      </c>
      <c r="I13" s="338" t="n">
        <v>481</v>
      </c>
      <c r="J13" s="338" t="n">
        <v>2578</v>
      </c>
    </row>
    <row r="14">
      <c r="B14" s="13" t="inlineStr">
        <is>
          <t xml:space="preserve">    금융비용</t>
        </is>
      </c>
      <c r="C14" s="343" t="n"/>
      <c r="D14" s="343" t="n"/>
      <c r="E14" s="343" t="n"/>
      <c r="F14" s="343" t="n"/>
      <c r="G14" s="338" t="n">
        <v>77</v>
      </c>
      <c r="H14" s="338" t="n">
        <v>129</v>
      </c>
      <c r="I14" s="338" t="n">
        <v>61</v>
      </c>
      <c r="J14" s="338" t="n">
        <v>65</v>
      </c>
    </row>
    <row r="15">
      <c r="B15" s="16" t="inlineStr">
        <is>
          <t>법인세비용차감전순손실</t>
        </is>
      </c>
      <c r="C15" s="339" t="n">
        <v>-2472</v>
      </c>
      <c r="D15" s="339" t="n">
        <v>-24094</v>
      </c>
      <c r="E15" s="339" t="n">
        <v>-6797</v>
      </c>
      <c r="F15" s="339" t="n">
        <v>-9239</v>
      </c>
      <c r="G15" s="339" t="n">
        <v>-10006</v>
      </c>
      <c r="H15" s="339" t="n">
        <v>-9715</v>
      </c>
      <c r="I15" s="339" t="n">
        <v>-4405</v>
      </c>
      <c r="J15" s="339" t="n">
        <v>-3665</v>
      </c>
    </row>
    <row r="16">
      <c r="B16" s="16" t="inlineStr">
        <is>
          <t>당기순손실</t>
        </is>
      </c>
      <c r="C16" s="339" t="n">
        <v>-2472</v>
      </c>
      <c r="D16" s="339" t="n">
        <v>-24094</v>
      </c>
      <c r="E16" s="339" t="n">
        <v>-6797</v>
      </c>
      <c r="F16" s="339" t="n">
        <v>-9239</v>
      </c>
      <c r="G16" s="339" t="n">
        <v>-10006</v>
      </c>
      <c r="H16" s="339" t="n">
        <v>-9715</v>
      </c>
      <c r="I16" s="339" t="n">
        <v>-4405</v>
      </c>
      <c r="J16" s="339" t="n">
        <v>-3665</v>
      </c>
    </row>
    <row r="17">
      <c r="B17" s="13" t="inlineStr">
        <is>
          <t>주당순손실(원)</t>
        </is>
      </c>
      <c r="C17" s="344" t="n">
        <v>-371</v>
      </c>
      <c r="D17" s="344" t="n">
        <v>-3201</v>
      </c>
      <c r="E17" s="344" t="n">
        <v>-770</v>
      </c>
      <c r="F17" s="344" t="n">
        <v>-913</v>
      </c>
      <c r="G17" s="344" t="n">
        <v>-687</v>
      </c>
      <c r="H17" s="344" t="n">
        <v>-642</v>
      </c>
      <c r="I17" s="344" t="n">
        <v>-292</v>
      </c>
      <c r="J17" s="344" t="n">
        <v>-240</v>
      </c>
    </row>
    <row r="19">
      <c r="A19" s="23" t="inlineStr">
        <is>
          <t>주1) 2020~2023년 매출원가는 SK증권 보고서의 매출총이익을 역산한 값이며, 판매비와관리비는 매출총이익에서 영업이익을 차감한 계산값임</t>
        </is>
      </c>
    </row>
    <row r="20">
      <c r="A20" s="23" t="inlineStr">
        <is>
          <t>주2) 2024·2025년 및 2026년 반기는 제9기 사업보고서·제10기 반기보고서 확정치, 2020~2023년은 증권사 보고서 기준</t>
        </is>
      </c>
    </row>
    <row r="21">
      <c r="A21" s="23" t="inlineStr">
        <is>
          <t>주3) 2026년 반기 매출액은 전년 동기 2,562백만원 대비 49.4% 감소</t>
        </is>
      </c>
    </row>
    <row r="22">
      <c r="A22" s="23" t="inlineStr">
        <is>
          <t>주4) 2024년 이후 판매비와관리비는 공시 확정치를 그대로 입력하였음. 2020~2023년만 '매출총이익 - 영업이익'으로 산출한 계산값임</t>
        </is>
      </c>
    </row>
  </sheetData>
  <pageMargins left="0.75" right="0.75" top="1" bottom="1" header="0.5" footer="0.5"/>
  <pageSetup orientation="landscape"/>
</worksheet>
</file>

<file path=xl/worksheets/sheet5.xml><?xml version="1.0" encoding="utf-8"?>
<worksheet xmlns="http://schemas.openxmlformats.org/spreadsheetml/2006/main">
  <sheetPr>
    <tabColor rgb="FF002060"/>
    <outlinePr summaryBelow="1" summaryRight="1"/>
    <pageSetUpPr/>
  </sheetPr>
  <dimension ref="A2:I29"/>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6.5"/>
  <cols>
    <col width="3" customWidth="1" style="276" min="1" max="1"/>
    <col width="26" customWidth="1" style="276" min="2" max="2"/>
    <col width="13" customWidth="1" style="276" min="3" max="9"/>
  </cols>
  <sheetData>
    <row r="2" ht="20.25" customHeight="1" s="276">
      <c r="A2" s="9" t="inlineStr">
        <is>
          <t>재무상태표 추이 (K-IFRS 별도)</t>
        </is>
      </c>
    </row>
    <row r="3">
      <c r="A3" s="2" t="inlineStr">
        <is>
          <t>단위: 백만원 / 출처: 제10기 반기보고서 「요약 별도 재무정보」, 리딩투자증권</t>
        </is>
      </c>
    </row>
    <row r="5">
      <c r="B5" s="278" t="inlineStr">
        <is>
          <t>구분</t>
        </is>
      </c>
      <c r="C5" s="278" t="inlineStr">
        <is>
          <t>2020</t>
        </is>
      </c>
      <c r="D5" s="278" t="inlineStr">
        <is>
          <t>2021</t>
        </is>
      </c>
      <c r="E5" s="278" t="inlineStr">
        <is>
          <t>2022</t>
        </is>
      </c>
      <c r="F5" s="278" t="inlineStr">
        <is>
          <t>2023</t>
        </is>
      </c>
      <c r="G5" s="278" t="inlineStr">
        <is>
          <t>2024</t>
        </is>
      </c>
      <c r="H5" s="278" t="inlineStr">
        <is>
          <t>2025</t>
        </is>
      </c>
      <c r="I5" s="278" t="inlineStr">
        <is>
          <t>2026 반기</t>
        </is>
      </c>
    </row>
    <row r="6">
      <c r="B6" s="16" t="inlineStr">
        <is>
          <t>유동자산</t>
        </is>
      </c>
      <c r="C6" s="339" t="n">
        <v>5500</v>
      </c>
      <c r="D6" s="339" t="n">
        <v>18100</v>
      </c>
      <c r="E6" s="339" t="n">
        <v>12500</v>
      </c>
      <c r="F6" s="339" t="n">
        <v>17200</v>
      </c>
      <c r="G6" s="339" t="n">
        <v>34310</v>
      </c>
      <c r="H6" s="339" t="n">
        <v>28624</v>
      </c>
      <c r="I6" s="339" t="n">
        <v>28922</v>
      </c>
    </row>
    <row r="7">
      <c r="B7" s="13" t="inlineStr">
        <is>
          <t xml:space="preserve">    현금및현금성자산</t>
        </is>
      </c>
      <c r="C7" s="338" t="n">
        <v>5200</v>
      </c>
      <c r="D7" s="338" t="n">
        <v>3100</v>
      </c>
      <c r="E7" s="338" t="n">
        <v>2100</v>
      </c>
      <c r="F7" s="338" t="n">
        <v>4200</v>
      </c>
      <c r="G7" s="338" t="n">
        <v>15064</v>
      </c>
      <c r="H7" s="338" t="n">
        <v>3151</v>
      </c>
      <c r="I7" s="338" t="n">
        <v>5053</v>
      </c>
    </row>
    <row r="8">
      <c r="B8" s="13" t="inlineStr">
        <is>
          <t xml:space="preserve">    단기금융상품</t>
        </is>
      </c>
      <c r="C8" s="338" t="n">
        <v>0</v>
      </c>
      <c r="D8" s="338" t="n">
        <v>14000</v>
      </c>
      <c r="E8" s="338" t="n">
        <v>8200</v>
      </c>
      <c r="F8" s="338" t="n">
        <v>10400</v>
      </c>
      <c r="G8" s="338" t="n">
        <v>16000</v>
      </c>
      <c r="H8" s="338" t="n">
        <v>22000</v>
      </c>
      <c r="I8" s="338" t="n">
        <v>20010</v>
      </c>
    </row>
    <row r="9">
      <c r="B9" s="13" t="inlineStr">
        <is>
          <t xml:space="preserve">    매출채권</t>
        </is>
      </c>
      <c r="C9" s="338" t="n">
        <v>0</v>
      </c>
      <c r="D9" s="338" t="n">
        <v>200</v>
      </c>
      <c r="E9" s="338" t="n">
        <v>400</v>
      </c>
      <c r="F9" s="338" t="n">
        <v>1000</v>
      </c>
      <c r="G9" s="338" t="n">
        <v>722</v>
      </c>
      <c r="H9" s="338" t="n">
        <v>723</v>
      </c>
      <c r="I9" s="338" t="n">
        <v>457</v>
      </c>
    </row>
    <row r="10">
      <c r="B10" s="13" t="inlineStr">
        <is>
          <t xml:space="preserve">    재고자산</t>
        </is>
      </c>
      <c r="C10" s="338" t="n">
        <v>200</v>
      </c>
      <c r="D10" s="338" t="n">
        <v>500</v>
      </c>
      <c r="E10" s="338" t="n">
        <v>1200</v>
      </c>
      <c r="F10" s="338" t="n">
        <v>900</v>
      </c>
      <c r="G10" s="338" t="n">
        <v>1085</v>
      </c>
      <c r="H10" s="338" t="n">
        <v>1340</v>
      </c>
      <c r="I10" s="338" t="n">
        <v>1308</v>
      </c>
    </row>
    <row r="11">
      <c r="B11" s="16" t="inlineStr">
        <is>
          <t>비유동자산</t>
        </is>
      </c>
      <c r="C11" s="339" t="n">
        <v>1000</v>
      </c>
      <c r="D11" s="339" t="n">
        <v>4100</v>
      </c>
      <c r="E11" s="339" t="n">
        <v>4000</v>
      </c>
      <c r="F11" s="339" t="n">
        <v>4100</v>
      </c>
      <c r="G11" s="339" t="n">
        <v>9567</v>
      </c>
      <c r="H11" s="339" t="n">
        <v>8409</v>
      </c>
      <c r="I11" s="339" t="n">
        <v>7344</v>
      </c>
    </row>
    <row r="12">
      <c r="B12" s="13" t="inlineStr">
        <is>
          <t xml:space="preserve">    유형자산</t>
        </is>
      </c>
      <c r="C12" s="338" t="n">
        <v>500</v>
      </c>
      <c r="D12" s="338" t="n">
        <v>3400</v>
      </c>
      <c r="E12" s="338" t="n">
        <v>3300</v>
      </c>
      <c r="F12" s="338" t="n">
        <v>3100</v>
      </c>
      <c r="G12" s="338" t="n">
        <v>3511</v>
      </c>
      <c r="H12" s="338" t="n">
        <v>4070</v>
      </c>
      <c r="I12" s="338" t="n">
        <v>4023</v>
      </c>
    </row>
    <row r="13">
      <c r="B13" s="13" t="inlineStr">
        <is>
          <t xml:space="preserve">    무형자산</t>
        </is>
      </c>
      <c r="C13" s="338" t="n">
        <v>200</v>
      </c>
      <c r="D13" s="338" t="n">
        <v>200</v>
      </c>
      <c r="E13" s="338" t="n">
        <v>300</v>
      </c>
      <c r="F13" s="338" t="n">
        <v>700</v>
      </c>
      <c r="G13" s="338" t="n">
        <v>1031</v>
      </c>
      <c r="H13" s="338" t="n">
        <v>870</v>
      </c>
      <c r="I13" s="338" t="n">
        <v>793</v>
      </c>
    </row>
    <row r="14">
      <c r="B14" s="16" t="inlineStr">
        <is>
          <t>자산총계</t>
        </is>
      </c>
      <c r="C14" s="340">
        <f>C6+C11</f>
        <v/>
      </c>
      <c r="D14" s="340">
        <f>D6+D11</f>
        <v/>
      </c>
      <c r="E14" s="340">
        <f>E6+E11</f>
        <v/>
      </c>
      <c r="F14" s="340">
        <f>F6+F11</f>
        <v/>
      </c>
      <c r="G14" s="340">
        <f>G6+G11</f>
        <v/>
      </c>
      <c r="H14" s="340">
        <f>H6+H11</f>
        <v/>
      </c>
      <c r="I14" s="340">
        <f>I6+I11</f>
        <v/>
      </c>
    </row>
    <row r="15">
      <c r="B15" s="13" t="inlineStr">
        <is>
          <t>유동부채</t>
        </is>
      </c>
      <c r="C15" s="338" t="n">
        <v>100</v>
      </c>
      <c r="D15" s="338" t="n">
        <v>34600</v>
      </c>
      <c r="E15" s="338" t="n">
        <v>34700</v>
      </c>
      <c r="F15" s="338" t="n">
        <v>11000</v>
      </c>
      <c r="G15" s="338" t="n">
        <v>1135</v>
      </c>
      <c r="H15" s="338" t="n">
        <v>1222</v>
      </c>
      <c r="I15" s="338" t="n">
        <v>1892</v>
      </c>
    </row>
    <row r="16">
      <c r="B16" s="13" t="inlineStr">
        <is>
          <t>비유동부채</t>
        </is>
      </c>
      <c r="C16" s="338" t="n">
        <v>300</v>
      </c>
      <c r="D16" s="338" t="n">
        <v>1500</v>
      </c>
      <c r="E16" s="338" t="n">
        <v>1500</v>
      </c>
      <c r="F16" s="338" t="n">
        <v>1600</v>
      </c>
      <c r="G16" s="338" t="n">
        <v>2413</v>
      </c>
      <c r="H16" s="338" t="n">
        <v>3186</v>
      </c>
      <c r="I16" s="338" t="n">
        <v>3392</v>
      </c>
    </row>
    <row r="17">
      <c r="B17" s="16" t="inlineStr">
        <is>
          <t>부채총계</t>
        </is>
      </c>
      <c r="C17" s="340">
        <f>C15+C16</f>
        <v/>
      </c>
      <c r="D17" s="340">
        <f>D15+D16</f>
        <v/>
      </c>
      <c r="E17" s="340">
        <f>E15+E16</f>
        <v/>
      </c>
      <c r="F17" s="340">
        <f>F15+F16</f>
        <v/>
      </c>
      <c r="G17" s="340">
        <f>G15+G16</f>
        <v/>
      </c>
      <c r="H17" s="340">
        <f>H15+H16</f>
        <v/>
      </c>
      <c r="I17" s="340">
        <f>I15+I16</f>
        <v/>
      </c>
    </row>
    <row r="18">
      <c r="B18" s="13" t="inlineStr">
        <is>
          <t xml:space="preserve">    자본금</t>
        </is>
      </c>
      <c r="C18" s="343" t="n"/>
      <c r="D18" s="343" t="n"/>
      <c r="E18" s="343" t="n"/>
      <c r="F18" s="343" t="n"/>
      <c r="G18" s="338" t="n">
        <v>7496</v>
      </c>
      <c r="H18" s="338" t="n">
        <v>7609</v>
      </c>
      <c r="I18" s="338" t="n">
        <v>7696</v>
      </c>
    </row>
    <row r="19">
      <c r="B19" s="13" t="inlineStr">
        <is>
          <t xml:space="preserve">    자본잉여금</t>
        </is>
      </c>
      <c r="C19" s="343" t="n"/>
      <c r="D19" s="343" t="n"/>
      <c r="E19" s="343" t="n"/>
      <c r="F19" s="343" t="n"/>
      <c r="G19" s="338" t="n">
        <v>90007</v>
      </c>
      <c r="H19" s="338" t="n">
        <v>91979</v>
      </c>
      <c r="I19" s="338" t="n">
        <v>94049</v>
      </c>
    </row>
    <row r="20">
      <c r="B20" s="13" t="inlineStr">
        <is>
          <t xml:space="preserve">    결손금</t>
        </is>
      </c>
      <c r="C20" s="343" t="n"/>
      <c r="D20" s="343" t="n"/>
      <c r="E20" s="343" t="n"/>
      <c r="F20" s="343" t="n"/>
      <c r="G20" s="338" t="n">
        <v>-59467</v>
      </c>
      <c r="H20" s="338" t="n">
        <v>-69098</v>
      </c>
      <c r="I20" s="338" t="n">
        <v>-72763</v>
      </c>
    </row>
    <row r="21">
      <c r="B21" s="16" t="inlineStr">
        <is>
          <t>자본총계</t>
        </is>
      </c>
      <c r="C21" s="340">
        <f>C14-C17</f>
        <v/>
      </c>
      <c r="D21" s="340">
        <f>D14-D17</f>
        <v/>
      </c>
      <c r="E21" s="340">
        <f>E14-E17</f>
        <v/>
      </c>
      <c r="F21" s="340">
        <f>F14-F17</f>
        <v/>
      </c>
      <c r="G21" s="340">
        <f>G14-G17</f>
        <v/>
      </c>
      <c r="H21" s="340">
        <f>H14-H17</f>
        <v/>
      </c>
      <c r="I21" s="340">
        <f>I14-I17</f>
        <v/>
      </c>
    </row>
    <row r="23">
      <c r="B23" s="16" t="inlineStr">
        <is>
          <t>즉시 가용 유동성 (현금+단기금융상품)</t>
        </is>
      </c>
      <c r="C23" s="340">
        <f>C7+C8</f>
        <v/>
      </c>
      <c r="D23" s="340">
        <f>D7+D8</f>
        <v/>
      </c>
      <c r="E23" s="340">
        <f>E7+E8</f>
        <v/>
      </c>
      <c r="F23" s="340">
        <f>F7+F8</f>
        <v/>
      </c>
      <c r="G23" s="340">
        <f>G7+G8</f>
        <v/>
      </c>
      <c r="H23" s="340">
        <f>H7+H8</f>
        <v/>
      </c>
      <c r="I23" s="340">
        <f>I7+I8</f>
        <v/>
      </c>
    </row>
    <row r="24">
      <c r="B24" s="13" t="inlineStr">
        <is>
          <t>금융기관 차입금</t>
        </is>
      </c>
      <c r="C24" s="26" t="inlineStr">
        <is>
          <t>-</t>
        </is>
      </c>
      <c r="D24" s="26" t="inlineStr">
        <is>
          <t>-</t>
        </is>
      </c>
      <c r="E24" s="26" t="inlineStr">
        <is>
          <t>-</t>
        </is>
      </c>
      <c r="F24" s="26" t="inlineStr">
        <is>
          <t>-</t>
        </is>
      </c>
      <c r="G24" s="26" t="inlineStr">
        <is>
          <t>-</t>
        </is>
      </c>
      <c r="H24" s="26" t="inlineStr">
        <is>
          <t>-</t>
        </is>
      </c>
      <c r="I24" s="26" t="inlineStr">
        <is>
          <t>-</t>
        </is>
      </c>
    </row>
    <row r="26">
      <c r="A26" s="23" t="inlineStr">
        <is>
          <t>주1) 2024·2025년 및 2026년 반기는 제10기 반기보고서 「요약 별도 재무정보」 확정치</t>
        </is>
      </c>
    </row>
    <row r="27">
      <c r="A27" s="23" t="inlineStr">
        <is>
          <t>주2) 2020~2023년은 리딩투자증권 보고서의 억원 단위 표기를 백만원으로 환산한 근사치이므로 소수점 이하 정밀도가 낮음</t>
        </is>
      </c>
    </row>
    <row r="28">
      <c r="A28" s="23" t="inlineStr">
        <is>
          <t>주3) 2021~2022년 자본총계가 음(-)인 것은 상장 전 발행한 상환전환우선주(RCPS)가 부채로 계상되었기 때문이며, 2023년 보통주 전환으로 해소됨</t>
        </is>
      </c>
    </row>
    <row r="29">
      <c r="A29" s="23" t="inlineStr">
        <is>
          <t>주4) 2026년 반기말 기준 금융기관 차입금·회사채·기업어음·단기사채 미상환 잔액이 모두 없음 (반기보고서 「채무증권 발행실적」)</t>
        </is>
      </c>
    </row>
  </sheetData>
  <pageMargins left="0.75" right="0.75" top="1" bottom="1" header="0.5" footer="0.5"/>
  <pageSetup orientation="landscape"/>
</worksheet>
</file>

<file path=xl/worksheets/sheet6.xml><?xml version="1.0" encoding="utf-8"?>
<worksheet xmlns="http://schemas.openxmlformats.org/spreadsheetml/2006/main">
  <sheetPr>
    <tabColor rgb="FF002060"/>
    <outlinePr summaryBelow="1" summaryRight="1"/>
    <pageSetUpPr/>
  </sheetPr>
  <dimension ref="A2:I15"/>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6.5"/>
  <cols>
    <col width="3" customWidth="1" style="276" min="1" max="1"/>
    <col width="26" customWidth="1" style="276" min="2" max="2"/>
    <col width="13" customWidth="1" style="276" min="3" max="9"/>
  </cols>
  <sheetData>
    <row r="2" ht="20.25" customHeight="1" s="276">
      <c r="A2" s="9" t="inlineStr">
        <is>
          <t>주요 재무비율</t>
        </is>
      </c>
    </row>
    <row r="3">
      <c r="A3" s="2" t="inlineStr">
        <is>
          <t>출처: 03_손익계산서·04_재무상태표 기준 산출</t>
        </is>
      </c>
    </row>
    <row r="5">
      <c r="B5" s="278" t="inlineStr">
        <is>
          <t>구분</t>
        </is>
      </c>
      <c r="C5" s="278" t="inlineStr">
        <is>
          <t>2020</t>
        </is>
      </c>
      <c r="D5" s="278" t="inlineStr">
        <is>
          <t>2021</t>
        </is>
      </c>
      <c r="E5" s="278" t="inlineStr">
        <is>
          <t>2022</t>
        </is>
      </c>
      <c r="F5" s="278" t="inlineStr">
        <is>
          <t>2023</t>
        </is>
      </c>
      <c r="G5" s="278" t="inlineStr">
        <is>
          <t>2024</t>
        </is>
      </c>
      <c r="H5" s="278" t="inlineStr">
        <is>
          <t>2025</t>
        </is>
      </c>
      <c r="I5" s="278" t="inlineStr">
        <is>
          <t>2026 반기</t>
        </is>
      </c>
    </row>
    <row r="6">
      <c r="B6" s="13" t="inlineStr">
        <is>
          <t>부채비율</t>
        </is>
      </c>
      <c r="C6" s="341">
        <f>IFERROR('04_재무상태표'!C17/'04_재무상태표'!C21,"")</f>
        <v/>
      </c>
      <c r="D6" s="341">
        <f>IFERROR('04_재무상태표'!D17/'04_재무상태표'!D21,"")</f>
        <v/>
      </c>
      <c r="E6" s="341">
        <f>IFERROR('04_재무상태표'!E17/'04_재무상태표'!E21,"")</f>
        <v/>
      </c>
      <c r="F6" s="341">
        <f>IFERROR('04_재무상태표'!F17/'04_재무상태표'!F21,"")</f>
        <v/>
      </c>
      <c r="G6" s="341">
        <f>IFERROR('04_재무상태표'!G17/'04_재무상태표'!G21,"")</f>
        <v/>
      </c>
      <c r="H6" s="341">
        <f>IFERROR('04_재무상태표'!H17/'04_재무상태표'!H21,"")</f>
        <v/>
      </c>
      <c r="I6" s="341">
        <f>IFERROR('04_재무상태표'!I17/'04_재무상태표'!I21,"")</f>
        <v/>
      </c>
    </row>
    <row r="7">
      <c r="B7" s="13" t="inlineStr">
        <is>
          <t>유동비율</t>
        </is>
      </c>
      <c r="C7" s="341">
        <f>IFERROR('04_재무상태표'!C6/'04_재무상태표'!C15,"")</f>
        <v/>
      </c>
      <c r="D7" s="341">
        <f>IFERROR('04_재무상태표'!D6/'04_재무상태표'!D15,"")</f>
        <v/>
      </c>
      <c r="E7" s="341">
        <f>IFERROR('04_재무상태표'!E6/'04_재무상태표'!E15,"")</f>
        <v/>
      </c>
      <c r="F7" s="341">
        <f>IFERROR('04_재무상태표'!F6/'04_재무상태표'!F15,"")</f>
        <v/>
      </c>
      <c r="G7" s="341">
        <f>IFERROR('04_재무상태표'!G6/'04_재무상태표'!G15,"")</f>
        <v/>
      </c>
      <c r="H7" s="341">
        <f>IFERROR('04_재무상태표'!H6/'04_재무상태표'!H15,"")</f>
        <v/>
      </c>
      <c r="I7" s="341">
        <f>IFERROR('04_재무상태표'!I6/'04_재무상태표'!I15,"")</f>
        <v/>
      </c>
    </row>
    <row r="8">
      <c r="B8" s="13" t="inlineStr">
        <is>
          <t>자기자본비율</t>
        </is>
      </c>
      <c r="C8" s="341">
        <f>IFERROR('04_재무상태표'!C21/'04_재무상태표'!C14,"")</f>
        <v/>
      </c>
      <c r="D8" s="341">
        <f>IFERROR('04_재무상태표'!D21/'04_재무상태표'!D14,"")</f>
        <v/>
      </c>
      <c r="E8" s="341">
        <f>IFERROR('04_재무상태표'!E21/'04_재무상태표'!E14,"")</f>
        <v/>
      </c>
      <c r="F8" s="341">
        <f>IFERROR('04_재무상태표'!F21/'04_재무상태표'!F14,"")</f>
        <v/>
      </c>
      <c r="G8" s="341">
        <f>IFERROR('04_재무상태표'!G21/'04_재무상태표'!G14,"")</f>
        <v/>
      </c>
      <c r="H8" s="341">
        <f>IFERROR('04_재무상태표'!H21/'04_재무상태표'!H14,"")</f>
        <v/>
      </c>
      <c r="I8" s="341">
        <f>IFERROR('04_재무상태표'!I21/'04_재무상태표'!I14,"")</f>
        <v/>
      </c>
    </row>
    <row r="9">
      <c r="B9" s="13" t="inlineStr">
        <is>
          <t>매출총이익률</t>
        </is>
      </c>
      <c r="C9" s="341">
        <f>IFERROR('03_손익계산서'!C8/'03_손익계산서'!C6,"")</f>
        <v/>
      </c>
      <c r="D9" s="341">
        <f>IFERROR('03_손익계산서'!D8/'03_손익계산서'!D6,"")</f>
        <v/>
      </c>
      <c r="E9" s="341">
        <f>IFERROR('03_손익계산서'!E8/'03_손익계산서'!E6,"")</f>
        <v/>
      </c>
      <c r="F9" s="341">
        <f>IFERROR('03_손익계산서'!F8/'03_손익계산서'!F6,"")</f>
        <v/>
      </c>
      <c r="G9" s="341">
        <f>IFERROR('03_손익계산서'!G8/'03_손익계산서'!G6,"")</f>
        <v/>
      </c>
      <c r="H9" s="341">
        <f>IFERROR('03_손익계산서'!H8/'03_손익계산서'!H6,"")</f>
        <v/>
      </c>
      <c r="I9" s="341">
        <f>IFERROR('03_손익계산서'!J8/'03_손익계산서'!J6,"")</f>
        <v/>
      </c>
    </row>
    <row r="10">
      <c r="B10" s="13" t="inlineStr">
        <is>
          <t>영업이익률</t>
        </is>
      </c>
      <c r="C10" s="341">
        <f>IFERROR('03_손익계산서'!C11/'03_손익계산서'!C6,"")</f>
        <v/>
      </c>
      <c r="D10" s="341">
        <f>IFERROR('03_손익계산서'!D11/'03_손익계산서'!D6,"")</f>
        <v/>
      </c>
      <c r="E10" s="341">
        <f>IFERROR('03_손익계산서'!E11/'03_손익계산서'!E6,"")</f>
        <v/>
      </c>
      <c r="F10" s="341">
        <f>IFERROR('03_손익계산서'!F11/'03_손익계산서'!F6,"")</f>
        <v/>
      </c>
      <c r="G10" s="341">
        <f>IFERROR('03_손익계산서'!G11/'03_손익계산서'!G6,"")</f>
        <v/>
      </c>
      <c r="H10" s="341">
        <f>IFERROR('03_손익계산서'!H11/'03_손익계산서'!H6,"")</f>
        <v/>
      </c>
      <c r="I10" s="341">
        <f>IFERROR('03_손익계산서'!J11/'03_손익계산서'!J6,"")</f>
        <v/>
      </c>
    </row>
    <row r="11">
      <c r="B11" s="13" t="inlineStr">
        <is>
          <t>세전손실 / 자기자본</t>
        </is>
      </c>
      <c r="C11" s="341">
        <f>IFERROR('03_손익계산서'!C15/'04_재무상태표'!C21,"")</f>
        <v/>
      </c>
      <c r="D11" s="341">
        <f>IFERROR('03_손익계산서'!D15/'04_재무상태표'!D21,"")</f>
        <v/>
      </c>
      <c r="E11" s="341">
        <f>IFERROR('03_손익계산서'!E15/'04_재무상태표'!E21,"")</f>
        <v/>
      </c>
      <c r="F11" s="341">
        <f>IFERROR('03_손익계산서'!F15/'04_재무상태표'!F21,"")</f>
        <v/>
      </c>
      <c r="G11" s="341">
        <f>IFERROR('03_손익계산서'!G15/'04_재무상태표'!G21,"")</f>
        <v/>
      </c>
      <c r="H11" s="341">
        <f>IFERROR('03_손익계산서'!H15/'04_재무상태표'!H21,"")</f>
        <v/>
      </c>
      <c r="I11" s="341">
        <f>IFERROR('03_손익계산서'!J15/'04_재무상태표'!I21,"")</f>
        <v/>
      </c>
    </row>
    <row r="13">
      <c r="A13" s="23" t="inlineStr">
        <is>
          <t>주1) 마지막 열은 2026년 반기 손익을 2026년 반기말 재무상태와 대응시킨 것으로, 연간 환산치가 아님</t>
        </is>
      </c>
    </row>
    <row r="14">
      <c r="A14" s="23" t="inlineStr">
        <is>
          <t>주2) 세전손실/자기자본 비율은 코스닥 관리종목 계속사업손실 요건의 판정 지표임 (12_관리종목·시뮬레이션 참조)</t>
        </is>
      </c>
    </row>
    <row r="15">
      <c r="A15" s="23" t="inlineStr">
        <is>
          <t>주3) 2020~2023년은 근사 환산치 기반이므로 참고용</t>
        </is>
      </c>
    </row>
  </sheetData>
  <pageMargins left="0.75" right="0.75" top="1" bottom="1" header="0.5" footer="0.5"/>
  <pageSetup orientation="landscape"/>
</worksheet>
</file>

<file path=xl/worksheets/sheet7.xml><?xml version="1.0" encoding="utf-8"?>
<worksheet xmlns="http://schemas.openxmlformats.org/spreadsheetml/2006/main">
  <sheetPr>
    <tabColor rgb="FF002060"/>
    <outlinePr summaryBelow="1" summaryRight="1"/>
    <pageSetUpPr/>
  </sheetPr>
  <dimension ref="A2:AG25"/>
  <sheetViews>
    <sheetView showGridLines="0" view="pageBreakPreview" zoomScaleNormal="100" zoomScaleSheetLayoutView="100" workbookViewId="0">
      <selection activeCell="A24" sqref="A24"/>
    </sheetView>
  </sheetViews>
  <sheetFormatPr baseColWidth="8" defaultRowHeight="16.5"/>
  <cols>
    <col width="3" customWidth="1" style="276" min="1" max="2"/>
    <col width="20" customWidth="1" style="276" min="3" max="3"/>
    <col width="17.75" bestFit="1" customWidth="1" style="276" min="4" max="4"/>
    <col width="14" customWidth="1" style="276" min="5" max="9"/>
    <col width="12" customWidth="1" style="276" min="10" max="11"/>
    <col width="3" customWidth="1" style="276" min="12" max="12"/>
    <col width="10.875" bestFit="1" customWidth="1" style="276" min="16" max="16"/>
    <col width="26.375" bestFit="1" customWidth="1" style="276" min="17" max="17"/>
    <col width="4.75" bestFit="1" customWidth="1" style="276" min="18" max="19"/>
    <col width="7.25" bestFit="1" customWidth="1" style="276" min="20" max="20"/>
    <col width="5.25" bestFit="1" customWidth="1" style="276" min="21" max="21"/>
    <col width="7.25" bestFit="1" customWidth="1" style="276" min="22" max="22"/>
    <col width="5.25" bestFit="1" customWidth="1" style="276" min="23" max="23"/>
    <col width="8.625" bestFit="1" customWidth="1" style="276" min="24" max="24"/>
    <col width="5.5" bestFit="1" customWidth="1" style="276" min="25" max="25"/>
    <col width="8.625" bestFit="1" customWidth="1" style="276" min="26" max="26"/>
    <col width="11" bestFit="1" customWidth="1" style="276" min="28" max="28"/>
    <col width="20.375" bestFit="1" customWidth="1" style="276" min="29" max="29"/>
    <col width="4.75" bestFit="1" customWidth="1" style="276" min="30" max="30"/>
    <col width="8.625" bestFit="1" customWidth="1" style="276" min="31" max="32"/>
    <col width="11.125" bestFit="1" customWidth="1" style="276" min="33" max="33"/>
  </cols>
  <sheetData>
    <row r="2" ht="20.25" customHeight="1" s="276">
      <c r="A2" s="9" t="inlineStr">
        <is>
          <t>제품별 매출 실적</t>
        </is>
      </c>
      <c r="B2" s="9" t="n"/>
      <c r="L2" s="9" t="n"/>
    </row>
    <row r="3">
      <c r="A3" s="2" t="n"/>
      <c r="B3" s="2" t="n"/>
      <c r="L3" s="2" t="n"/>
    </row>
    <row r="4">
      <c r="A4" s="2" t="n"/>
      <c r="B4" s="2" t="n"/>
      <c r="L4" s="2" t="n"/>
    </row>
    <row r="5" ht="24" customHeight="1" s="276">
      <c r="B5" s="10" t="inlineStr">
        <is>
          <t>매출 비중</t>
        </is>
      </c>
      <c r="K5" t="inlineStr">
        <is>
          <t>단위 : 천원</t>
        </is>
      </c>
      <c r="P5" s="82" t="inlineStr">
        <is>
          <t>가. 매출 실적</t>
        </is>
      </c>
    </row>
    <row r="6">
      <c r="C6" s="278" t="inlineStr">
        <is>
          <t>매출유형</t>
        </is>
      </c>
      <c r="D6" s="278" t="inlineStr">
        <is>
          <t>품목</t>
        </is>
      </c>
      <c r="E6" s="278" t="n">
        <v>2022</v>
      </c>
      <c r="F6" s="278">
        <f>+E6+1</f>
        <v/>
      </c>
      <c r="G6" s="278">
        <f>+F6+1</f>
        <v/>
      </c>
      <c r="H6" s="278">
        <f>+G6+1</f>
        <v/>
      </c>
      <c r="I6" s="278" t="inlineStr">
        <is>
          <t>2026 반기</t>
        </is>
      </c>
      <c r="J6" s="278" t="inlineStr">
        <is>
          <t>2025 비중</t>
        </is>
      </c>
      <c r="K6" s="278" t="inlineStr">
        <is>
          <t>2026반기 비중</t>
        </is>
      </c>
      <c r="P6" s="100" t="n"/>
      <c r="AB6" s="82" t="inlineStr">
        <is>
          <t>가.매출실적</t>
        </is>
      </c>
      <c r="AC6" s="83" t="n"/>
      <c r="AD6" s="83" t="n"/>
      <c r="AE6" s="83" t="n"/>
      <c r="AF6" s="83" t="n"/>
      <c r="AG6" s="83" t="n"/>
    </row>
    <row r="7">
      <c r="C7" s="34" t="inlineStr">
        <is>
          <t>제품매출</t>
        </is>
      </c>
      <c r="D7" s="13" t="inlineStr">
        <is>
          <t>angel MEDI (내수)</t>
        </is>
      </c>
      <c r="E7" s="114">
        <f>+X11</f>
        <v/>
      </c>
      <c r="F7" s="114">
        <f>+Z11</f>
        <v/>
      </c>
      <c r="G7" s="332">
        <f>+AE11</f>
        <v/>
      </c>
      <c r="H7" s="332">
        <f>+AF11</f>
        <v/>
      </c>
      <c r="I7" s="332">
        <f>+AG11</f>
        <v/>
      </c>
      <c r="J7" s="345">
        <f>IFERROR(H7/H$14,"")</f>
        <v/>
      </c>
      <c r="K7" s="345">
        <f>IFERROR(I7/I$14,"")</f>
        <v/>
      </c>
      <c r="P7" s="84" t="inlineStr">
        <is>
          <t>(단위: 천 원)</t>
        </is>
      </c>
      <c r="Q7" s="83" t="n"/>
      <c r="R7" s="83" t="n"/>
      <c r="S7" s="83" t="n"/>
      <c r="T7" s="83" t="n"/>
      <c r="U7" s="83" t="n"/>
      <c r="V7" s="83" t="n"/>
      <c r="W7" s="83" t="n"/>
      <c r="X7" s="83" t="n"/>
      <c r="Y7" s="83" t="n"/>
      <c r="Z7" s="83" t="n"/>
      <c r="AB7" s="84" t="inlineStr">
        <is>
          <t>(단위:천원)</t>
        </is>
      </c>
      <c r="AC7" s="83" t="n"/>
      <c r="AD7" s="83" t="n"/>
      <c r="AE7" s="83" t="n"/>
      <c r="AF7" s="83" t="n"/>
      <c r="AG7" s="83" t="n"/>
    </row>
    <row r="8">
      <c r="C8" s="34" t="inlineStr">
        <is>
          <t>제품매출</t>
        </is>
      </c>
      <c r="D8" s="13" t="inlineStr">
        <is>
          <t>angel MEDI (수출)</t>
        </is>
      </c>
      <c r="E8" s="332" t="n">
        <v>0</v>
      </c>
      <c r="F8" s="332" t="n">
        <v>0</v>
      </c>
      <c r="G8" s="332" t="n">
        <v>0</v>
      </c>
      <c r="H8" s="332">
        <f>+AF12</f>
        <v/>
      </c>
      <c r="I8" s="332">
        <f>+AG12</f>
        <v/>
      </c>
      <c r="J8" s="345">
        <f>IFERROR(H8/H$14,"")</f>
        <v/>
      </c>
      <c r="K8" s="345">
        <f>IFERROR(I8/I$14,"")</f>
        <v/>
      </c>
      <c r="P8" s="346" t="inlineStr">
        <is>
          <t>매출유형</t>
        </is>
      </c>
      <c r="Q8" s="347" t="inlineStr">
        <is>
          <t>품목</t>
        </is>
      </c>
      <c r="R8" s="348" t="n"/>
      <c r="S8" s="86" t="inlineStr">
        <is>
          <t>2020년</t>
        </is>
      </c>
      <c r="T8" s="349" t="n"/>
      <c r="U8" s="85" t="inlineStr">
        <is>
          <t>2021년</t>
        </is>
      </c>
      <c r="V8" s="348" t="n"/>
      <c r="W8" s="85" t="inlineStr">
        <is>
          <t>2022년</t>
        </is>
      </c>
      <c r="X8" s="348" t="n"/>
      <c r="Y8" s="85" t="inlineStr">
        <is>
          <t>2023년</t>
        </is>
      </c>
      <c r="Z8" s="348" t="n"/>
      <c r="AB8" s="346" t="inlineStr">
        <is>
          <t>매출유형</t>
        </is>
      </c>
      <c r="AC8" s="347" t="inlineStr">
        <is>
          <t>품목</t>
        </is>
      </c>
      <c r="AD8" s="348" t="n"/>
      <c r="AE8" s="86" t="inlineStr">
        <is>
          <t>2024년</t>
        </is>
      </c>
      <c r="AF8" s="85" t="inlineStr">
        <is>
          <t>2025년</t>
        </is>
      </c>
      <c r="AG8" s="85" t="inlineStr">
        <is>
          <t>2026년6월말</t>
        </is>
      </c>
    </row>
    <row r="9">
      <c r="C9" s="34" t="inlineStr">
        <is>
          <t>제품매출</t>
        </is>
      </c>
      <c r="D9" s="13" t="inlineStr">
        <is>
          <t>angel SUIT</t>
        </is>
      </c>
      <c r="E9" s="114">
        <f>+X13</f>
        <v/>
      </c>
      <c r="F9" s="114">
        <f>+Z13</f>
        <v/>
      </c>
      <c r="G9" s="332">
        <f>+AE15</f>
        <v/>
      </c>
      <c r="H9" s="332">
        <f>+AF15</f>
        <v/>
      </c>
      <c r="I9" s="332">
        <f>+AG15</f>
        <v/>
      </c>
      <c r="J9" s="345">
        <f>IFERROR(H9/H$14,"")</f>
        <v/>
      </c>
      <c r="K9" s="345">
        <f>IFERROR(I9/I$14,"")</f>
        <v/>
      </c>
      <c r="P9" s="350" t="n"/>
      <c r="Q9" s="351" t="n"/>
      <c r="R9" s="352" t="n"/>
      <c r="S9" s="88" t="inlineStr">
        <is>
          <t>(제4기)</t>
        </is>
      </c>
      <c r="T9" s="353" t="n"/>
      <c r="U9" s="87" t="inlineStr">
        <is>
          <t>(제5기)</t>
        </is>
      </c>
      <c r="V9" s="354" t="n"/>
      <c r="W9" s="87" t="inlineStr">
        <is>
          <t>(제6기)</t>
        </is>
      </c>
      <c r="X9" s="354" t="n"/>
      <c r="Y9" s="87" t="inlineStr">
        <is>
          <t>(제7기)</t>
        </is>
      </c>
      <c r="Z9" s="354" t="n"/>
      <c r="AB9" s="350" t="n"/>
      <c r="AC9" s="351" t="n"/>
      <c r="AD9" s="352" t="n"/>
      <c r="AE9" s="88" t="inlineStr">
        <is>
          <t>(제8기)</t>
        </is>
      </c>
      <c r="AF9" s="87" t="inlineStr">
        <is>
          <t>(제9기)</t>
        </is>
      </c>
      <c r="AG9" s="87" t="inlineStr">
        <is>
          <t>(제10기반기)</t>
        </is>
      </c>
    </row>
    <row r="10">
      <c r="C10" s="34" t="inlineStr">
        <is>
          <t>제품매출</t>
        </is>
      </c>
      <c r="D10" s="13" t="inlineStr">
        <is>
          <t>angel GEAR</t>
        </is>
      </c>
      <c r="E10" s="114">
        <f>+X12</f>
        <v/>
      </c>
      <c r="F10" s="114">
        <f>+Z12</f>
        <v/>
      </c>
      <c r="G10" s="332">
        <f>+AE14</f>
        <v/>
      </c>
      <c r="H10" s="332">
        <f>+AF14</f>
        <v/>
      </c>
      <c r="I10" s="332">
        <f>+AG14</f>
        <v/>
      </c>
      <c r="J10" s="345">
        <f>IFERROR(H10/H$14,"")</f>
        <v/>
      </c>
      <c r="K10" s="345">
        <f>IFERROR(I10/I$14,"")</f>
        <v/>
      </c>
      <c r="P10" s="355" t="n"/>
      <c r="Q10" s="356" t="n"/>
      <c r="R10" s="354" t="n"/>
      <c r="S10" s="104" t="inlineStr">
        <is>
          <t>수량</t>
        </is>
      </c>
      <c r="T10" s="105" t="inlineStr">
        <is>
          <t>금액</t>
        </is>
      </c>
      <c r="U10" s="104" t="inlineStr">
        <is>
          <t>수량</t>
        </is>
      </c>
      <c r="V10" s="104" t="inlineStr">
        <is>
          <t>금액</t>
        </is>
      </c>
      <c r="W10" s="104" t="inlineStr">
        <is>
          <t>수량</t>
        </is>
      </c>
      <c r="X10" s="104" t="inlineStr">
        <is>
          <t>금액</t>
        </is>
      </c>
      <c r="Y10" s="104" t="inlineStr">
        <is>
          <t>수량</t>
        </is>
      </c>
      <c r="Z10" s="104" t="inlineStr">
        <is>
          <t>금액</t>
        </is>
      </c>
      <c r="AB10" s="355" t="n"/>
      <c r="AC10" s="356" t="n"/>
      <c r="AD10" s="354" t="n"/>
      <c r="AE10" s="90" t="inlineStr">
        <is>
          <t>금액</t>
        </is>
      </c>
      <c r="AF10" s="89" t="inlineStr">
        <is>
          <t>금액</t>
        </is>
      </c>
      <c r="AG10" s="89" t="inlineStr">
        <is>
          <t>금액</t>
        </is>
      </c>
    </row>
    <row r="11">
      <c r="C11" s="34" t="inlineStr">
        <is>
          <t>제품매출</t>
        </is>
      </c>
      <c r="D11" s="13" t="inlineStr">
        <is>
          <t>angel KIT</t>
        </is>
      </c>
      <c r="E11" s="332" t="n">
        <v>0</v>
      </c>
      <c r="F11" s="114">
        <f>+Z14</f>
        <v/>
      </c>
      <c r="G11" s="332">
        <f>+AE16</f>
        <v/>
      </c>
      <c r="H11" s="332">
        <f>+AF16</f>
        <v/>
      </c>
      <c r="I11" s="332" t="n">
        <v>0</v>
      </c>
      <c r="J11" s="345">
        <f>IFERROR(H11/H$14,"")</f>
        <v/>
      </c>
      <c r="K11" s="345">
        <f>IFERROR(I11/I$14,"")</f>
        <v/>
      </c>
      <c r="P11" s="267" t="inlineStr">
        <is>
          <t>제품매출</t>
        </is>
      </c>
      <c r="Q11" s="97" t="inlineStr">
        <is>
          <t>angelMEDI</t>
        </is>
      </c>
      <c r="R11" s="97" t="inlineStr">
        <is>
          <t>내수</t>
        </is>
      </c>
      <c r="S11" s="93" t="n">
        <v>1</v>
      </c>
      <c r="T11" s="107" t="n">
        <v>104454</v>
      </c>
      <c r="U11" s="93" t="n">
        <v>9</v>
      </c>
      <c r="V11" s="106" t="n">
        <v>502182</v>
      </c>
      <c r="W11" s="93" t="n">
        <v>21</v>
      </c>
      <c r="X11" s="106" t="n">
        <v>1543489</v>
      </c>
      <c r="Y11" s="93" t="n">
        <v>39</v>
      </c>
      <c r="Z11" s="106" t="n">
        <v>3088704</v>
      </c>
      <c r="AB11" s="267" t="inlineStr">
        <is>
          <t>제품매출</t>
        </is>
      </c>
      <c r="AC11" s="289" t="n"/>
      <c r="AD11" s="92" t="inlineStr">
        <is>
          <t>내수</t>
        </is>
      </c>
      <c r="AE11" s="107" t="n">
        <v>3129220</v>
      </c>
      <c r="AF11" s="106" t="n">
        <v>1445568</v>
      </c>
      <c r="AG11" s="106" t="n">
        <v>649568</v>
      </c>
    </row>
    <row r="12">
      <c r="C12" s="34" t="inlineStr">
        <is>
          <t>용역매출</t>
        </is>
      </c>
      <c r="D12" s="13" t="inlineStr">
        <is>
          <t>웨어러블로봇 개발용역</t>
        </is>
      </c>
      <c r="E12" s="114">
        <f>+X20</f>
        <v/>
      </c>
      <c r="F12" s="114">
        <f>+Z20</f>
        <v/>
      </c>
      <c r="G12" s="332">
        <f>+AE19</f>
        <v/>
      </c>
      <c r="H12" s="332">
        <f>+AF19</f>
        <v/>
      </c>
      <c r="I12" s="332">
        <f>+AG19</f>
        <v/>
      </c>
      <c r="J12" s="345">
        <f>IFERROR(H12/H$14,"")</f>
        <v/>
      </c>
      <c r="K12" s="345">
        <f>IFERROR(I12/I$14,"")</f>
        <v/>
      </c>
      <c r="P12" s="350" t="n"/>
      <c r="Q12" s="97" t="inlineStr">
        <is>
          <t>angelGEAR</t>
        </is>
      </c>
      <c r="R12" s="97" t="inlineStr">
        <is>
          <t>내수</t>
        </is>
      </c>
      <c r="S12" s="93" t="inlineStr">
        <is>
          <t>-</t>
        </is>
      </c>
      <c r="T12" s="94" t="inlineStr">
        <is>
          <t>-</t>
        </is>
      </c>
      <c r="U12" s="93" t="inlineStr">
        <is>
          <t>-</t>
        </is>
      </c>
      <c r="V12" s="93" t="inlineStr">
        <is>
          <t>-</t>
        </is>
      </c>
      <c r="W12" s="93" t="n">
        <v>113</v>
      </c>
      <c r="X12" s="106" t="n">
        <v>107608</v>
      </c>
      <c r="Y12" s="106" t="n">
        <v>1304</v>
      </c>
      <c r="Z12" s="106" t="n">
        <v>1341189</v>
      </c>
      <c r="AB12" s="350" t="n"/>
      <c r="AC12" s="95" t="inlineStr">
        <is>
          <t>ㅙ</t>
        </is>
      </c>
      <c r="AD12" s="92" t="inlineStr">
        <is>
          <t>수출</t>
        </is>
      </c>
      <c r="AE12" s="94" t="inlineStr">
        <is>
          <t>-</t>
        </is>
      </c>
      <c r="AF12" s="106" t="n">
        <v>241238</v>
      </c>
      <c r="AG12" s="106" t="n">
        <v>125252</v>
      </c>
    </row>
    <row r="13">
      <c r="C13" s="34" t="inlineStr">
        <is>
          <t>용역매출</t>
        </is>
      </c>
      <c r="D13" s="13" t="inlineStr">
        <is>
          <t>유상유지보수</t>
        </is>
      </c>
      <c r="E13" s="332" t="n">
        <v>0</v>
      </c>
      <c r="F13" s="332" t="n">
        <v>0</v>
      </c>
      <c r="G13" s="332">
        <f>+AE20</f>
        <v/>
      </c>
      <c r="H13" s="332">
        <f>+AF20</f>
        <v/>
      </c>
      <c r="I13" s="332">
        <f>+AG20</f>
        <v/>
      </c>
      <c r="J13" s="345">
        <f>IFERROR(H13/H$14,"")</f>
        <v/>
      </c>
      <c r="K13" s="345">
        <f>IFERROR(I13/I$14,"")</f>
        <v/>
      </c>
      <c r="P13" s="350" t="n"/>
      <c r="Q13" s="97" t="inlineStr">
        <is>
          <t>angelSUIT</t>
        </is>
      </c>
      <c r="R13" s="97" t="inlineStr">
        <is>
          <t>내수</t>
        </is>
      </c>
      <c r="S13" s="93" t="inlineStr">
        <is>
          <t>-</t>
        </is>
      </c>
      <c r="T13" s="94" t="inlineStr">
        <is>
          <t>-</t>
        </is>
      </c>
      <c r="U13" s="93" t="n">
        <v>3</v>
      </c>
      <c r="V13" s="106" t="n">
        <v>72273</v>
      </c>
      <c r="W13" s="93" t="n">
        <v>4</v>
      </c>
      <c r="X13" s="106" t="n">
        <v>88320</v>
      </c>
      <c r="Y13" s="93" t="n">
        <v>4</v>
      </c>
      <c r="Z13" s="106" t="n">
        <v>138450</v>
      </c>
      <c r="AB13" s="350" t="n"/>
      <c r="AC13" s="290" t="n"/>
      <c r="AD13" s="92" t="inlineStr">
        <is>
          <t>소계</t>
        </is>
      </c>
      <c r="AE13" s="107" t="n">
        <v>3129220</v>
      </c>
      <c r="AF13" s="106" t="n">
        <v>1686806</v>
      </c>
      <c r="AG13" s="106" t="n">
        <v>774820</v>
      </c>
    </row>
    <row r="14">
      <c r="C14" s="16" t="inlineStr">
        <is>
          <t>합계</t>
        </is>
      </c>
      <c r="D14" s="16" t="inlineStr">
        <is>
          <t>-</t>
        </is>
      </c>
      <c r="E14" s="16" t="n"/>
      <c r="F14" s="16" t="n"/>
      <c r="G14" s="334">
        <f>SUM(G7:G13)</f>
        <v/>
      </c>
      <c r="H14" s="334">
        <f>SUM(H7:H13)</f>
        <v/>
      </c>
      <c r="I14" s="334">
        <f>SUM(I7:I13)</f>
        <v/>
      </c>
      <c r="J14" s="335">
        <f>IFERROR(H14/H14,"")</f>
        <v/>
      </c>
      <c r="K14" s="335">
        <f>IFERROR(I14/I14,"")</f>
        <v/>
      </c>
      <c r="P14" s="350" t="n"/>
      <c r="Q14" s="97" t="inlineStr">
        <is>
          <t>angelKIT</t>
        </is>
      </c>
      <c r="R14" s="97" t="inlineStr">
        <is>
          <t>내수</t>
        </is>
      </c>
      <c r="S14" s="93" t="inlineStr">
        <is>
          <t>-</t>
        </is>
      </c>
      <c r="T14" s="94" t="inlineStr">
        <is>
          <t>-</t>
        </is>
      </c>
      <c r="U14" s="93" t="inlineStr">
        <is>
          <t>-</t>
        </is>
      </c>
      <c r="V14" s="93" t="inlineStr">
        <is>
          <t>-</t>
        </is>
      </c>
      <c r="W14" s="93" t="inlineStr">
        <is>
          <t>-</t>
        </is>
      </c>
      <c r="X14" s="93" t="inlineStr">
        <is>
          <t>-</t>
        </is>
      </c>
      <c r="Y14" s="93" t="n">
        <v>11</v>
      </c>
      <c r="Z14" s="106" t="n">
        <v>94646</v>
      </c>
      <c r="AB14" s="350" t="n"/>
      <c r="AC14" s="92" t="inlineStr">
        <is>
          <t>angelGEAR</t>
        </is>
      </c>
      <c r="AD14" s="92" t="inlineStr">
        <is>
          <t>내수</t>
        </is>
      </c>
      <c r="AE14" s="107" t="n">
        <v>247706</v>
      </c>
      <c r="AF14" s="106" t="n">
        <v>120680</v>
      </c>
      <c r="AG14" s="106" t="n">
        <v>30474</v>
      </c>
    </row>
    <row r="15">
      <c r="P15" s="350" t="n"/>
      <c r="Q15" s="97" t="inlineStr">
        <is>
          <t>워크온슈트</t>
        </is>
      </c>
      <c r="R15" s="97" t="inlineStr">
        <is>
          <t>내수</t>
        </is>
      </c>
      <c r="S15" s="93" t="inlineStr">
        <is>
          <t>-</t>
        </is>
      </c>
      <c r="T15" s="94" t="inlineStr">
        <is>
          <t>-</t>
        </is>
      </c>
      <c r="U15" s="93" t="n">
        <v>1</v>
      </c>
      <c r="V15" s="106" t="n">
        <v>141545</v>
      </c>
      <c r="W15" s="93" t="inlineStr">
        <is>
          <t>-</t>
        </is>
      </c>
      <c r="X15" s="93" t="inlineStr">
        <is>
          <t>-</t>
        </is>
      </c>
      <c r="Y15" s="93" t="inlineStr">
        <is>
          <t>-</t>
        </is>
      </c>
      <c r="Z15" s="93" t="inlineStr">
        <is>
          <t>-</t>
        </is>
      </c>
      <c r="AB15" s="350" t="n"/>
      <c r="AC15" s="92" t="inlineStr">
        <is>
          <t>angelSUIT</t>
        </is>
      </c>
      <c r="AD15" s="92" t="inlineStr">
        <is>
          <t>내수</t>
        </is>
      </c>
      <c r="AE15" s="107" t="n">
        <v>368678</v>
      </c>
      <c r="AF15" s="106" t="n">
        <v>1380488</v>
      </c>
      <c r="AG15" s="106" t="n">
        <v>192310</v>
      </c>
    </row>
    <row r="16">
      <c r="C16" s="36" t="inlineStr">
        <is>
          <t>수출 비중(전체)</t>
        </is>
      </c>
      <c r="D16" s="357" t="n">
        <v>0</v>
      </c>
      <c r="E16" s="357" t="n">
        <v>0</v>
      </c>
      <c r="F16" s="357" t="n">
        <v>0</v>
      </c>
      <c r="G16" s="358">
        <f>G8/G14</f>
        <v/>
      </c>
      <c r="H16" s="358">
        <f>H8/H14</f>
        <v/>
      </c>
      <c r="I16" s="358">
        <f>I8/I14</f>
        <v/>
      </c>
      <c r="P16" s="355" t="n"/>
      <c r="Q16" s="97" t="inlineStr">
        <is>
          <t>소계</t>
        </is>
      </c>
      <c r="R16" s="97" t="inlineStr">
        <is>
          <t>내수</t>
        </is>
      </c>
      <c r="S16" s="93" t="inlineStr">
        <is>
          <t>-</t>
        </is>
      </c>
      <c r="T16" s="94" t="inlineStr">
        <is>
          <t>-</t>
        </is>
      </c>
      <c r="U16" s="93" t="n">
        <v>13</v>
      </c>
      <c r="V16" s="106" t="n">
        <v>716000</v>
      </c>
      <c r="W16" s="93" t="n">
        <v>138</v>
      </c>
      <c r="X16" s="106" t="n">
        <v>1739417</v>
      </c>
      <c r="Y16" s="106" t="n">
        <v>1358</v>
      </c>
      <c r="Z16" s="106" t="n">
        <v>4662989</v>
      </c>
      <c r="AB16" s="350" t="n"/>
      <c r="AC16" s="92" t="inlineStr">
        <is>
          <t>angelKIT</t>
        </is>
      </c>
      <c r="AD16" s="92" t="inlineStr">
        <is>
          <t>내수</t>
        </is>
      </c>
      <c r="AE16" s="107" t="n">
        <v>25922</v>
      </c>
      <c r="AF16" s="106" t="n">
        <v>116359</v>
      </c>
      <c r="AG16" s="93" t="inlineStr">
        <is>
          <t>-</t>
        </is>
      </c>
    </row>
    <row r="17">
      <c r="C17" s="36" t="inlineStr">
        <is>
          <t>수출 비중(제품매출 내)</t>
        </is>
      </c>
      <c r="D17" s="357" t="n">
        <v>0</v>
      </c>
      <c r="E17" s="357" t="n">
        <v>0</v>
      </c>
      <c r="F17" s="357" t="n">
        <v>0</v>
      </c>
      <c r="G17" s="358">
        <f>G8/SUM(G7:G11)</f>
        <v/>
      </c>
      <c r="H17" s="358">
        <f>H8/SUM(H7:H11)</f>
        <v/>
      </c>
      <c r="I17" s="358">
        <f>I8/SUM(I7:I11)</f>
        <v/>
      </c>
      <c r="P17" s="286" t="n"/>
      <c r="Q17" s="97" t="inlineStr">
        <is>
          <t>국방부웨어러블슈트연구개발</t>
        </is>
      </c>
      <c r="R17" s="97" t="inlineStr">
        <is>
          <t>내수</t>
        </is>
      </c>
      <c r="S17" s="93" t="inlineStr">
        <is>
          <t>-</t>
        </is>
      </c>
      <c r="T17" s="94" t="inlineStr">
        <is>
          <t>-</t>
        </is>
      </c>
      <c r="U17" s="93" t="inlineStr">
        <is>
          <t>(주1)</t>
        </is>
      </c>
      <c r="V17" s="106" t="n">
        <v>38692</v>
      </c>
      <c r="W17" s="93" t="inlineStr">
        <is>
          <t>(주1)</t>
        </is>
      </c>
      <c r="X17" s="106" t="n">
        <v>444895</v>
      </c>
      <c r="Y17" s="93" t="inlineStr">
        <is>
          <t>(주1)</t>
        </is>
      </c>
      <c r="Z17" s="106" t="n">
        <v>451731</v>
      </c>
      <c r="AB17" s="350" t="n"/>
      <c r="AC17" s="97" t="inlineStr">
        <is>
          <t>소계</t>
        </is>
      </c>
      <c r="AD17" s="92" t="inlineStr">
        <is>
          <t>내수</t>
        </is>
      </c>
      <c r="AE17" s="107" t="n">
        <v>3771526</v>
      </c>
      <c r="AF17" s="106" t="n">
        <v>3063095</v>
      </c>
      <c r="AG17" s="106" t="n">
        <v>872352</v>
      </c>
    </row>
    <row r="18">
      <c r="P18" s="287" t="inlineStr">
        <is>
          <t>용역매출</t>
        </is>
      </c>
      <c r="Q18" s="97" t="inlineStr">
        <is>
          <t>LG전자로봇핸드용구동모듈개발</t>
        </is>
      </c>
      <c r="R18" s="97" t="inlineStr">
        <is>
          <t>내수</t>
        </is>
      </c>
      <c r="S18" s="93" t="n"/>
      <c r="T18" s="94" t="n"/>
      <c r="U18" s="93" t="n"/>
      <c r="V18" s="93" t="n"/>
      <c r="W18" s="93" t="n"/>
      <c r="X18" s="93" t="n"/>
      <c r="Y18" s="93" t="inlineStr">
        <is>
          <t>(주1)</t>
        </is>
      </c>
      <c r="Z18" s="106" t="n">
        <v>31466</v>
      </c>
      <c r="AB18" s="355" t="n"/>
      <c r="AC18" s="359" t="n"/>
      <c r="AD18" s="92" t="inlineStr">
        <is>
          <t>수출</t>
        </is>
      </c>
      <c r="AE18" s="94" t="inlineStr">
        <is>
          <t>-</t>
        </is>
      </c>
      <c r="AF18" s="106" t="n">
        <v>241238</v>
      </c>
      <c r="AG18" s="106" t="n">
        <v>125252</v>
      </c>
    </row>
    <row r="19">
      <c r="B19" s="10" t="inlineStr">
        <is>
          <t>판매처 구성 (2023년)</t>
        </is>
      </c>
      <c r="P19" s="287" t="n"/>
      <c r="Q19" s="97" t="inlineStr">
        <is>
          <t>택배상하차근력보조로봇개발</t>
        </is>
      </c>
      <c r="R19" s="97" t="inlineStr">
        <is>
          <t>내수</t>
        </is>
      </c>
      <c r="S19" s="93" t="inlineStr">
        <is>
          <t>-</t>
        </is>
      </c>
      <c r="T19" s="94" t="inlineStr">
        <is>
          <t>-</t>
        </is>
      </c>
      <c r="U19" s="93" t="inlineStr">
        <is>
          <t>(주1)</t>
        </is>
      </c>
      <c r="V19" s="106" t="n">
        <v>59237</v>
      </c>
      <c r="W19" s="93" t="inlineStr">
        <is>
          <t>-</t>
        </is>
      </c>
      <c r="X19" s="93" t="inlineStr">
        <is>
          <t>-</t>
        </is>
      </c>
      <c r="Y19" s="93" t="inlineStr">
        <is>
          <t>-</t>
        </is>
      </c>
      <c r="Z19" s="93" t="inlineStr">
        <is>
          <t>-</t>
        </is>
      </c>
      <c r="AB19" s="267" t="inlineStr">
        <is>
          <t>용역매출</t>
        </is>
      </c>
      <c r="AC19" s="92" t="inlineStr">
        <is>
          <t>웨어러블로봇개발용역등</t>
        </is>
      </c>
      <c r="AD19" s="97" t="inlineStr">
        <is>
          <t>내수</t>
        </is>
      </c>
      <c r="AE19" s="107" t="n">
        <v>419412</v>
      </c>
      <c r="AF19" s="106" t="n">
        <v>757595</v>
      </c>
      <c r="AG19" s="106" t="n">
        <v>43819</v>
      </c>
    </row>
    <row r="20">
      <c r="C20" s="278" t="inlineStr">
        <is>
          <t>판매처</t>
        </is>
      </c>
      <c r="D20" s="278" t="inlineStr">
        <is>
          <t>비중</t>
        </is>
      </c>
      <c r="E20" s="278" t="inlineStr">
        <is>
          <t>판매처</t>
        </is>
      </c>
      <c r="F20" s="278" t="inlineStr">
        <is>
          <t>비중</t>
        </is>
      </c>
      <c r="P20" s="288" t="n"/>
      <c r="Q20" s="97" t="inlineStr">
        <is>
          <t>소계</t>
        </is>
      </c>
      <c r="R20" s="97" t="inlineStr">
        <is>
          <t>내수</t>
        </is>
      </c>
      <c r="S20" s="93" t="inlineStr">
        <is>
          <t>-</t>
        </is>
      </c>
      <c r="T20" s="107" t="n">
        <v>104454</v>
      </c>
      <c r="U20" s="93" t="inlineStr">
        <is>
          <t>(주1)</t>
        </is>
      </c>
      <c r="V20" s="106" t="n">
        <v>97929</v>
      </c>
      <c r="W20" s="93" t="inlineStr">
        <is>
          <t>(주1)</t>
        </is>
      </c>
      <c r="X20" s="106" t="n">
        <v>444895</v>
      </c>
      <c r="Y20" s="93" t="inlineStr">
        <is>
          <t>(주1)</t>
        </is>
      </c>
      <c r="Z20" s="106" t="n">
        <v>483197</v>
      </c>
      <c r="AB20" s="350" t="n"/>
      <c r="AC20" s="92" t="inlineStr">
        <is>
          <t>유상유지보수</t>
        </is>
      </c>
      <c r="AD20" s="92" t="inlineStr">
        <is>
          <t>내수</t>
        </is>
      </c>
      <c r="AE20" s="107" t="n">
        <v>20016</v>
      </c>
      <c r="AF20" s="106" t="n">
        <v>579384</v>
      </c>
      <c r="AG20" s="106" t="n">
        <v>253925</v>
      </c>
    </row>
    <row r="21">
      <c r="C21" s="39" t="inlineStr">
        <is>
          <t>회복기재활의료기관</t>
        </is>
      </c>
      <c r="D21" s="360" t="n">
        <v>0.38</v>
      </c>
      <c r="E21" s="39" t="inlineStr">
        <is>
          <t>재활병원</t>
        </is>
      </c>
      <c r="F21" s="360" t="n">
        <v>0.1</v>
      </c>
      <c r="P21" s="269" t="inlineStr">
        <is>
          <t>합계</t>
        </is>
      </c>
      <c r="Q21" s="361" t="n"/>
      <c r="R21" s="111" t="inlineStr">
        <is>
          <t>내수</t>
        </is>
      </c>
      <c r="S21" s="99" t="n">
        <v>1</v>
      </c>
      <c r="T21" s="113" t="n">
        <v>104454</v>
      </c>
      <c r="U21" s="99" t="n">
        <v>13</v>
      </c>
      <c r="V21" s="112" t="n">
        <v>813929</v>
      </c>
      <c r="W21" s="99" t="n">
        <v>138</v>
      </c>
      <c r="X21" s="112" t="n">
        <v>2184312</v>
      </c>
      <c r="Y21" s="112" t="n">
        <v>1358</v>
      </c>
      <c r="Z21" s="112" t="n">
        <v>5146186</v>
      </c>
      <c r="AB21" s="355" t="n"/>
      <c r="AC21" s="92" t="inlineStr">
        <is>
          <t>소계</t>
        </is>
      </c>
      <c r="AD21" s="92" t="inlineStr">
        <is>
          <t>내수</t>
        </is>
      </c>
      <c r="AE21" s="107" t="n">
        <v>439428</v>
      </c>
      <c r="AF21" s="106" t="n">
        <v>1336979</v>
      </c>
      <c r="AG21" s="106" t="n">
        <v>297744</v>
      </c>
    </row>
    <row r="22">
      <c r="C22" s="39" t="inlineStr">
        <is>
          <t>상급종합병원</t>
        </is>
      </c>
      <c r="D22" s="360" t="n">
        <v>0.21</v>
      </c>
      <c r="E22" s="39" t="inlineStr">
        <is>
          <t>요양병원</t>
        </is>
      </c>
      <c r="F22" s="360" t="n">
        <v>0.08</v>
      </c>
      <c r="AB22" s="362" t="inlineStr">
        <is>
          <t>합계</t>
        </is>
      </c>
      <c r="AC22" s="361" t="n"/>
      <c r="AD22" s="98" t="inlineStr">
        <is>
          <t>-</t>
        </is>
      </c>
      <c r="AE22" s="113" t="n">
        <v>4210954</v>
      </c>
      <c r="AF22" s="112" t="n">
        <v>4641312</v>
      </c>
      <c r="AG22" s="112" t="n">
        <v>1295348</v>
      </c>
    </row>
    <row r="23">
      <c r="C23" s="39" t="inlineStr">
        <is>
          <t>장애인복지관</t>
        </is>
      </c>
      <c r="D23" s="360" t="n">
        <v>0.1</v>
      </c>
      <c r="E23" s="39" t="inlineStr">
        <is>
          <t>대학교</t>
        </is>
      </c>
      <c r="F23" s="360" t="n">
        <v>0.03</v>
      </c>
      <c r="AB23" s="83" t="n"/>
      <c r="AC23" s="83" t="n"/>
      <c r="AD23" s="83" t="n"/>
      <c r="AE23" s="83" t="n"/>
      <c r="AF23" s="83" t="n"/>
      <c r="AG23" s="83" t="n"/>
    </row>
    <row r="24">
      <c r="C24" s="39" t="inlineStr">
        <is>
          <t>재활학교</t>
        </is>
      </c>
      <c r="D24" s="360" t="n">
        <v>0.1</v>
      </c>
      <c r="E24" s="41" t="inlineStr">
        <is>
          <t>합계</t>
        </is>
      </c>
      <c r="F24" s="363" t="n">
        <v>1</v>
      </c>
    </row>
    <row r="25">
      <c r="A25" s="23" t="inlineStr">
        <is>
          <t>출처: 엔젤로보틱스, 한국IR협의회 기업리서치센터(2024.09.26)</t>
        </is>
      </c>
      <c r="B25" s="23" t="n"/>
      <c r="L25" s="23" t="n"/>
    </row>
  </sheetData>
  <mergeCells count="18">
    <mergeCell ref="U8:V8"/>
    <mergeCell ref="S8:T8"/>
    <mergeCell ref="W8:X8"/>
    <mergeCell ref="U9:V9"/>
    <mergeCell ref="P21:Q21"/>
    <mergeCell ref="AC17:AC18"/>
    <mergeCell ref="P8:P10"/>
    <mergeCell ref="AC8:AD10"/>
    <mergeCell ref="Q8:R10"/>
    <mergeCell ref="AB8:AB10"/>
    <mergeCell ref="Y8:Z8"/>
    <mergeCell ref="S9:T9"/>
    <mergeCell ref="AB22:AC22"/>
    <mergeCell ref="P11:P16"/>
    <mergeCell ref="AB11:AB18"/>
    <mergeCell ref="Y9:Z9"/>
    <mergeCell ref="W9:X9"/>
    <mergeCell ref="AB19:AB21"/>
  </mergeCells>
  <pageMargins left="0.75" right="0.75" top="1" bottom="1" header="0.5" footer="0.5"/>
  <pageSetup orientation="landscape" scale="79"/>
</worksheet>
</file>

<file path=xl/worksheets/sheet8.xml><?xml version="1.0" encoding="utf-8"?>
<worksheet xmlns="http://schemas.openxmlformats.org/spreadsheetml/2006/main">
  <sheetPr>
    <tabColor rgb="FF002060"/>
    <outlinePr summaryBelow="1" summaryRight="1"/>
    <pageSetUpPr/>
  </sheetPr>
  <dimension ref="A2:U56"/>
  <sheetViews>
    <sheetView showGridLines="0" tabSelected="1" view="pageBreakPreview" zoomScaleNormal="85" zoomScaleSheetLayoutView="100" workbookViewId="0">
      <selection activeCell="I19" sqref="I19"/>
    </sheetView>
  </sheetViews>
  <sheetFormatPr baseColWidth="8" defaultRowHeight="16.5"/>
  <cols>
    <col width="3" customWidth="1" style="276" min="1" max="2"/>
    <col width="18.875" bestFit="1" customWidth="1" style="276" min="3" max="3"/>
    <col width="6.375" bestFit="1" customWidth="1" style="276" min="4" max="4"/>
    <col width="15.5" customWidth="1" style="276" min="5" max="5"/>
    <col width="8" bestFit="1" customWidth="1" style="276" min="6" max="6"/>
    <col width="6.625" bestFit="1" customWidth="1" style="276" min="7" max="7"/>
    <col width="33.5" customWidth="1" style="276" min="10" max="10"/>
    <col width="14.375" customWidth="1" style="276" min="13" max="13"/>
    <col width="11" bestFit="1" customWidth="1" style="276" min="14" max="14"/>
    <col width="9.875" bestFit="1" customWidth="1" style="276" min="15" max="15"/>
    <col width="8.125" bestFit="1" customWidth="1" style="276" min="16" max="16"/>
    <col width="17.125" bestFit="1" customWidth="1" style="276" min="17" max="17"/>
    <col width="8.375" bestFit="1" customWidth="1" style="276" min="18" max="18"/>
    <col width="10.875" customWidth="1" style="276" min="19" max="19"/>
    <col width="2.25" bestFit="1" customWidth="1" style="276" min="20" max="20"/>
    <col width="14.5" customWidth="1" style="276" min="21" max="21"/>
  </cols>
  <sheetData>
    <row r="2" ht="20.25" customHeight="1" s="276">
      <c r="A2" s="9" t="inlineStr">
        <is>
          <t>증권신고서 추정치 대비 실적</t>
        </is>
      </c>
      <c r="M2" s="164" t="inlineStr">
        <is>
          <t>파. 특례상장기업의 사후정보</t>
        </is>
      </c>
    </row>
    <row r="3">
      <c r="B3" s="2" t="n"/>
    </row>
    <row r="4">
      <c r="M4" s="163" t="inlineStr">
        <is>
          <t xml:space="preserve">(1) 상장기업의 재무사항 비교표 </t>
        </is>
      </c>
    </row>
    <row r="5" ht="27" customHeight="1" s="276">
      <c r="C5" s="278" t="inlineStr">
        <is>
          <t>구분</t>
        </is>
      </c>
      <c r="D5" s="278" t="inlineStr">
        <is>
          <t>예측치</t>
        </is>
      </c>
      <c r="E5" s="278" t="inlineStr">
        <is>
          <t>실적치</t>
        </is>
      </c>
      <c r="F5" s="278" t="inlineStr">
        <is>
          <t>달성 여부</t>
        </is>
      </c>
      <c r="G5" s="278" t="inlineStr">
        <is>
          <t>괴리율</t>
        </is>
      </c>
      <c r="M5" s="70" t="inlineStr">
        <is>
          <t xml:space="preserve">(기준 재무제표 : </t>
        </is>
      </c>
      <c r="N5" s="70" t="inlineStr">
        <is>
          <t>별도</t>
        </is>
      </c>
      <c r="O5" s="118" t="inlineStr">
        <is>
          <t>)</t>
        </is>
      </c>
      <c r="P5" s="68" t="inlineStr">
        <is>
          <t xml:space="preserve">(상장일 : </t>
        </is>
      </c>
      <c r="Q5" s="119" t="n">
        <v>45377</v>
      </c>
      <c r="R5" s="70" t="inlineStr">
        <is>
          <t xml:space="preserve">, 인수인 : </t>
        </is>
      </c>
      <c r="S5" s="68" t="inlineStr">
        <is>
          <t>NH투자증권</t>
        </is>
      </c>
      <c r="T5" s="118" t="inlineStr">
        <is>
          <t>)</t>
        </is>
      </c>
      <c r="U5" s="68" t="inlineStr">
        <is>
          <t>(단위 : 백만원)</t>
        </is>
      </c>
    </row>
    <row r="6">
      <c r="C6" s="41" t="inlineStr">
        <is>
          <t>2024년 매출액</t>
        </is>
      </c>
      <c r="D6" s="364" t="n">
        <v>9016</v>
      </c>
      <c r="E6" s="364" t="n">
        <v>4211</v>
      </c>
      <c r="F6" s="43" t="inlineStr">
        <is>
          <t>미달성</t>
        </is>
      </c>
      <c r="G6" s="360" t="n">
        <v>0.5329</v>
      </c>
      <c r="M6" s="133" t="inlineStr">
        <is>
          <t>추정대상</t>
        </is>
      </c>
      <c r="N6" s="135" t="inlineStr">
        <is>
          <t>계정과목</t>
        </is>
      </c>
      <c r="O6" s="135" t="inlineStr">
        <is>
          <t>예측치</t>
        </is>
      </c>
      <c r="P6" s="135" t="inlineStr">
        <is>
          <t>실적치</t>
        </is>
      </c>
      <c r="Q6" s="122" t="inlineStr">
        <is>
          <t>예측치 달성</t>
        </is>
      </c>
      <c r="R6" s="137" t="inlineStr">
        <is>
          <t>괴리율</t>
        </is>
      </c>
    </row>
    <row r="7">
      <c r="C7" s="41" t="inlineStr">
        <is>
          <t>2024년 영업이익</t>
        </is>
      </c>
      <c r="D7" s="364" t="n">
        <v>-5141</v>
      </c>
      <c r="E7" s="364" t="n">
        <v>-10842</v>
      </c>
      <c r="F7" s="43" t="inlineStr">
        <is>
          <t>미달성</t>
        </is>
      </c>
      <c r="G7" s="360" t="n">
        <v>1.1089</v>
      </c>
      <c r="M7" s="134" t="n"/>
      <c r="N7" s="136" t="n"/>
      <c r="O7" s="136" t="n"/>
      <c r="P7" s="136" t="n"/>
      <c r="Q7" s="120" t="inlineStr">
        <is>
          <t>여부</t>
        </is>
      </c>
      <c r="R7" s="138" t="n"/>
    </row>
    <row r="8">
      <c r="C8" s="41" t="inlineStr">
        <is>
          <t>2024년 당기순이익</t>
        </is>
      </c>
      <c r="D8" s="364" t="n">
        <v>-4407</v>
      </c>
      <c r="E8" s="364" t="n">
        <v>-10006</v>
      </c>
      <c r="F8" s="43" t="inlineStr">
        <is>
          <t>미달성</t>
        </is>
      </c>
      <c r="G8" s="360" t="n">
        <v>1.2705</v>
      </c>
      <c r="M8" s="139" t="inlineStr">
        <is>
          <t>2024년</t>
        </is>
      </c>
      <c r="N8" s="142" t="inlineStr">
        <is>
          <t>매출액</t>
        </is>
      </c>
      <c r="O8" s="121" t="n">
        <v>9016</v>
      </c>
      <c r="P8" s="144" t="n">
        <v>4211</v>
      </c>
      <c r="Q8" s="75" t="inlineStr">
        <is>
          <t>미달성</t>
        </is>
      </c>
      <c r="R8" s="79" t="n">
        <v>53.29</v>
      </c>
    </row>
    <row r="9">
      <c r="C9" s="41" t="inlineStr">
        <is>
          <t>2025년 매출액</t>
        </is>
      </c>
      <c r="D9" s="364" t="n">
        <v>20842</v>
      </c>
      <c r="E9" s="364" t="n">
        <v>4641</v>
      </c>
      <c r="F9" s="43" t="inlineStr">
        <is>
          <t>미달성</t>
        </is>
      </c>
      <c r="G9" s="360" t="n">
        <v>0.7773</v>
      </c>
      <c r="M9" s="140" t="n"/>
      <c r="N9" s="142" t="inlineStr">
        <is>
          <t>영업이익</t>
        </is>
      </c>
      <c r="O9" s="145" t="n">
        <v>-5141</v>
      </c>
      <c r="P9" s="144" t="n">
        <v>-10842</v>
      </c>
      <c r="Q9" s="142" t="inlineStr">
        <is>
          <t>미달성</t>
        </is>
      </c>
      <c r="R9" s="79" t="n">
        <v>110.89</v>
      </c>
    </row>
    <row r="10">
      <c r="C10" s="41" t="inlineStr">
        <is>
          <t>2025년 영업이익</t>
        </is>
      </c>
      <c r="D10" s="364" t="n">
        <v>1766</v>
      </c>
      <c r="E10" s="364" t="n">
        <v>-10276</v>
      </c>
      <c r="F10" s="43" t="inlineStr">
        <is>
          <t>미달성</t>
        </is>
      </c>
      <c r="G10" s="360" t="n">
        <v>6.8188</v>
      </c>
      <c r="M10" s="141" t="n"/>
      <c r="N10" s="142" t="inlineStr">
        <is>
          <t>당기순이익</t>
        </is>
      </c>
      <c r="O10" s="145" t="n">
        <v>-4407</v>
      </c>
      <c r="P10" s="101" t="n">
        <v>-10006</v>
      </c>
      <c r="Q10" s="142" t="inlineStr">
        <is>
          <t>미달성</t>
        </is>
      </c>
      <c r="R10" s="79" t="n">
        <v>127.05</v>
      </c>
    </row>
    <row r="11">
      <c r="C11" s="41" t="inlineStr">
        <is>
          <t>2025년 당기순이익</t>
        </is>
      </c>
      <c r="D11" s="364" t="n">
        <v>2364</v>
      </c>
      <c r="E11" s="364" t="n">
        <v>-9715</v>
      </c>
      <c r="F11" s="43" t="inlineStr">
        <is>
          <t>미달성</t>
        </is>
      </c>
      <c r="G11" s="360" t="n">
        <v>5.1096</v>
      </c>
      <c r="M11" s="139" t="inlineStr">
        <is>
          <t>2025년</t>
        </is>
      </c>
      <c r="N11" s="75" t="inlineStr">
        <is>
          <t>매출액</t>
        </is>
      </c>
      <c r="O11" s="121" t="n">
        <v>20842</v>
      </c>
      <c r="P11" s="101" t="n">
        <v>4641</v>
      </c>
      <c r="Q11" s="75" t="inlineStr">
        <is>
          <t>미달성</t>
        </is>
      </c>
      <c r="R11" s="79" t="n">
        <v>77.73</v>
      </c>
    </row>
    <row r="12">
      <c r="C12" s="41" t="inlineStr">
        <is>
          <t>2026년 매출액</t>
        </is>
      </c>
      <c r="D12" s="364" t="n">
        <v>36179</v>
      </c>
      <c r="E12" s="365" t="n"/>
      <c r="F12" s="43" t="inlineStr">
        <is>
          <t>-</t>
        </is>
      </c>
      <c r="G12" s="366" t="n"/>
      <c r="M12" s="140" t="n"/>
      <c r="N12" s="75" t="inlineStr">
        <is>
          <t>영업이익</t>
        </is>
      </c>
      <c r="O12" s="121" t="n">
        <v>1766</v>
      </c>
      <c r="P12" s="101" t="n">
        <v>-10276</v>
      </c>
      <c r="Q12" s="75" t="inlineStr">
        <is>
          <t>미달성</t>
        </is>
      </c>
      <c r="R12" s="79" t="n">
        <v>681.88</v>
      </c>
    </row>
    <row r="13">
      <c r="C13" s="41" t="inlineStr">
        <is>
          <t>2026년 영업이익</t>
        </is>
      </c>
      <c r="D13" s="364" t="n">
        <v>10643</v>
      </c>
      <c r="E13" s="365" t="n"/>
      <c r="F13" s="43" t="inlineStr">
        <is>
          <t>-</t>
        </is>
      </c>
      <c r="G13" s="366" t="n"/>
      <c r="M13" s="141" t="n"/>
      <c r="N13" s="75" t="inlineStr">
        <is>
          <t>당기순이익</t>
        </is>
      </c>
      <c r="O13" s="121" t="n">
        <v>2364</v>
      </c>
      <c r="P13" s="101" t="n">
        <v>-9715</v>
      </c>
      <c r="Q13" s="75" t="inlineStr">
        <is>
          <t>미달성</t>
        </is>
      </c>
      <c r="R13" s="79" t="n">
        <v>510.96</v>
      </c>
    </row>
    <row r="14">
      <c r="C14" s="41" t="inlineStr">
        <is>
          <t>2026년 당기순이익</t>
        </is>
      </c>
      <c r="D14" s="364" t="n">
        <v>11450</v>
      </c>
      <c r="E14" s="365" t="n"/>
      <c r="F14" s="43" t="inlineStr">
        <is>
          <t>-</t>
        </is>
      </c>
      <c r="G14" s="366" t="n"/>
      <c r="M14" s="139" t="inlineStr">
        <is>
          <t>2026년</t>
        </is>
      </c>
      <c r="N14" s="75" t="inlineStr">
        <is>
          <t>매출액</t>
        </is>
      </c>
      <c r="O14" s="121" t="n">
        <v>36179</v>
      </c>
      <c r="P14" s="74" t="inlineStr">
        <is>
          <t>-</t>
        </is>
      </c>
      <c r="Q14" s="75" t="inlineStr">
        <is>
          <t>-</t>
        </is>
      </c>
      <c r="R14" s="79" t="inlineStr">
        <is>
          <t>-</t>
        </is>
      </c>
    </row>
    <row r="15">
      <c r="M15" s="140" t="n"/>
      <c r="N15" s="75" t="inlineStr">
        <is>
          <t>영업이익</t>
        </is>
      </c>
      <c r="O15" s="121" t="n">
        <v>10643</v>
      </c>
      <c r="P15" s="74" t="inlineStr">
        <is>
          <t>-</t>
        </is>
      </c>
      <c r="Q15" s="75" t="inlineStr">
        <is>
          <t>-</t>
        </is>
      </c>
      <c r="R15" s="79" t="inlineStr">
        <is>
          <t>-</t>
        </is>
      </c>
    </row>
    <row r="16">
      <c r="C16" s="8" t="n"/>
      <c r="D16" s="46" t="n"/>
      <c r="E16" s="46" t="n"/>
      <c r="F16" s="46" t="n"/>
      <c r="G16" s="46" t="n"/>
      <c r="M16" s="143" t="n"/>
      <c r="N16" s="103" t="inlineStr">
        <is>
          <t>당기순이익</t>
        </is>
      </c>
      <c r="O16" s="123" t="n">
        <v>11450</v>
      </c>
      <c r="P16" s="80" t="inlineStr">
        <is>
          <t>-</t>
        </is>
      </c>
      <c r="Q16" s="103" t="inlineStr">
        <is>
          <t>-</t>
        </is>
      </c>
      <c r="R16" s="81" t="inlineStr">
        <is>
          <t>-</t>
        </is>
      </c>
    </row>
    <row r="17">
      <c r="M17" s="159" t="inlineStr">
        <is>
          <t>주1) 당사는 2024년 3월 26일 코스닥시장 상장규정 제7조(신규상장심사요건의 특례)의 2항에 의하여 '기술특례상장'하였습니다. 위 표에서의 '예측치'는 2024년 03월 상장 공모를 위하여 제출한 증권신고서에 작성된 미래 영업실적의 추정치이며, '실적치'는 각 사업연도의 기록된 재무제표 기준의 실적입니다. 또한 '괴리율'은 [(예측치-실적치)/예측치]로 산정하였습니다.</t>
        </is>
      </c>
      <c r="N17" s="130" t="n"/>
      <c r="O17" s="130" t="n"/>
    </row>
    <row r="18">
      <c r="B18" s="23" t="inlineStr">
        <is>
          <t>주1) 괴리율 = (예측치 - 실적치) / 예측치</t>
        </is>
      </c>
      <c r="M18" s="132" t="inlineStr">
        <is>
          <t>주2) 2024년 실적의 괴리율 발생 사유</t>
        </is>
      </c>
      <c r="N18" s="118" t="n"/>
      <c r="O18" s="118" t="n"/>
    </row>
    <row r="19" ht="30.75" customHeight="1" s="276">
      <c r="B19" s="23" t="inlineStr">
        <is>
          <t>주2) 회사가 공시한 괴리 사유: ① 의정갈등 장기화에 따른 의료기관 투자 위축 ② 유럽 CE MDR 인증 지연에 따른 수출 발생 지연 ③ 정부 주도 산업안전 웨어러블 로봇 보급 예산 감소</t>
        </is>
      </c>
      <c r="M19" s="124" t="n"/>
      <c r="N19" s="124" t="n"/>
      <c r="O19" s="124" t="n"/>
    </row>
    <row r="20" ht="16.5" customHeight="1" s="276">
      <c r="B20" s="23" t="inlineStr">
        <is>
          <t>주3) 2025년 매출 미달분 중 인증 지연 요인이 24%p를 차지하며, 해당 요인은 아세안 3개국 인허가 완결로 해소</t>
        </is>
      </c>
      <c r="M20" s="132" t="inlineStr">
        <is>
          <t>- 당사 매출은 재활의료시장의 성장과 해외 진출의 확대 등을 예상하여 2024년 실적을 예상하였으나 의정갈등사태 장기화에 따른 국내 의료시장의 위축 및 예산부족 현상으로 인해 재활 웨어러블 로봇 시장이 위축되며 당사의 매출성장에 악영향을 끼쳐 53.29% 미달하였습니다.</t>
        </is>
      </c>
      <c r="N20" s="132" t="n"/>
      <c r="O20" s="132" t="n"/>
    </row>
    <row r="21">
      <c r="M21" s="117" t="n"/>
      <c r="N21" s="117" t="n"/>
      <c r="O21" s="117" t="n"/>
    </row>
    <row r="22">
      <c r="M22" s="132" t="inlineStr">
        <is>
          <t>[괴리사유 상세분석]</t>
        </is>
      </c>
      <c r="N22" s="118" t="n"/>
      <c r="O22" s="118" t="n"/>
    </row>
    <row r="23">
      <c r="M23" s="129" t="n"/>
      <c r="N23" s="129" t="n"/>
      <c r="O23" s="129" t="n"/>
    </row>
    <row r="24">
      <c r="M24" s="151" t="inlineStr">
        <is>
          <t>매출항목</t>
        </is>
      </c>
      <c r="N24" s="148" t="inlineStr">
        <is>
          <t>2024년</t>
        </is>
      </c>
      <c r="O24" s="148" t="n"/>
      <c r="P24" s="148" t="n"/>
      <c r="Q24" s="148" t="n"/>
      <c r="R24" s="148" t="n"/>
    </row>
    <row r="25">
      <c r="M25" s="139" t="inlineStr">
        <is>
          <t>angel MEDI</t>
        </is>
      </c>
      <c r="N25" s="146" t="inlineStr">
        <is>
          <t>발생사유</t>
        </is>
      </c>
      <c r="O25" s="153" t="inlineStr">
        <is>
          <t>- 예상하지 못한 의정갈등사태의 장기화에 따른 국내의료시장의 위축(53%)</t>
        </is>
      </c>
    </row>
    <row r="26">
      <c r="M26" s="140" t="n"/>
      <c r="N26" s="147" t="n"/>
      <c r="O26" s="154" t="inlineStr">
        <is>
          <t>- 해외 인증 지연에 따른 해외 수출 발생 지연(3%)</t>
        </is>
      </c>
    </row>
    <row r="27">
      <c r="M27" s="140" t="n"/>
      <c r="N27" s="146" t="inlineStr">
        <is>
          <t>상세내역</t>
        </is>
      </c>
      <c r="O27" s="153" t="inlineStr">
        <is>
          <t>- 2024년 예상하지 못한 의정갈등사태로 인해 상급종합병원 등의 투자 지연 및 예산부족현상 발생</t>
        </is>
      </c>
    </row>
    <row r="28">
      <c r="M28" s="141" t="n"/>
      <c r="N28" s="147" t="n"/>
      <c r="O28" s="154" t="inlineStr">
        <is>
          <t>- 유럽 CE MDR 인증 지연에 따른 말레이시아, 태국, 싱가폴, 홍콩 등 APAC 지역 해외수출 지연</t>
        </is>
      </c>
    </row>
    <row r="29">
      <c r="M29" s="139" t="inlineStr">
        <is>
          <t>angel GEAR</t>
        </is>
      </c>
      <c r="N29" s="146" t="inlineStr">
        <is>
          <t>발생사유</t>
        </is>
      </c>
      <c r="O29" s="153" t="inlineStr">
        <is>
          <t>- 정부주도(B2G) 산업용 웨어러블로봇 보급 시장 축소(27%)</t>
        </is>
      </c>
    </row>
    <row r="30">
      <c r="M30" s="140" t="n"/>
      <c r="N30" s="147" t="n"/>
      <c r="O30" s="154" t="inlineStr">
        <is>
          <t>- 민간주도(B2B) 산업용 웨어러블로봇 시장 개화 지연(2%)</t>
        </is>
      </c>
    </row>
    <row r="31">
      <c r="M31" s="140" t="n"/>
      <c r="N31" s="146" t="inlineStr">
        <is>
          <t>상세내역</t>
        </is>
      </c>
      <c r="O31" s="153" t="inlineStr">
        <is>
          <t>- '스마트 안전장비 보급확산' 사업 등 정부주도의 산업용 웨어러블로봇 보급을 위한 정부보조금 감소에 따른 B2G 시장의 축소</t>
        </is>
      </c>
    </row>
    <row r="32">
      <c r="M32" s="141" t="n"/>
      <c r="N32" s="147" t="n"/>
      <c r="O32" s="154" t="inlineStr">
        <is>
          <t xml:space="preserve">- 대기업 위주의 현장중심 산업용 웨어러블로봇 개발 진행 중이나 시장이 아직 개화기로서 예상보다 더딘 상용화 및 대량 보급 </t>
        </is>
      </c>
    </row>
    <row r="33">
      <c r="M33" s="139" t="inlineStr">
        <is>
          <t>용역매출</t>
        </is>
      </c>
      <c r="N33" s="75" t="inlineStr">
        <is>
          <t>발생사유</t>
        </is>
      </c>
      <c r="O33" s="155" t="inlineStr">
        <is>
          <t>- 국방용 웨어러블 로봇 개발 용역 발주 지연 (6%)</t>
        </is>
      </c>
    </row>
    <row r="34">
      <c r="M34" s="143" t="n"/>
      <c r="N34" s="103" t="inlineStr">
        <is>
          <t>상세내역</t>
        </is>
      </c>
      <c r="O34" s="156" t="inlineStr">
        <is>
          <t>- 예상된 국방용 웨어러블 로봇 개발 용역의 발주가 2025년으로 지연됨에 따른 용역 매출 괴리 발생</t>
        </is>
      </c>
    </row>
    <row r="35">
      <c r="M35" s="128" t="n"/>
      <c r="N35" s="128" t="n"/>
      <c r="O35" s="128" t="n"/>
    </row>
    <row r="36" ht="16.5" customHeight="1" s="276">
      <c r="M36" s="157" t="inlineStr">
        <is>
          <t>- 영업이익과 순이익은 상장 이후 해외진출 준비를 위한 마케팅 세일즈 비용 증가와 생산시설 고도화 및 연구시설 설립으로 인한 투자 및 전문 인력확대 비용 발생, 신제품 개발을 위한 경상연구개발비용 증가 등으로 인해 예측치 대비 각각 110.89%, 127.05% 미달하였습니다.</t>
        </is>
      </c>
      <c r="N36" s="118" t="n"/>
      <c r="O36" s="118" t="n"/>
    </row>
    <row r="37">
      <c r="M37" s="157" t="inlineStr">
        <is>
          <t>주3) 2025년 실적의 괴리율 발생 사유</t>
        </is>
      </c>
      <c r="N37" s="118" t="n"/>
      <c r="O37" s="118" t="n"/>
    </row>
    <row r="38">
      <c r="M38" s="117" t="n"/>
      <c r="N38" s="117" t="n"/>
      <c r="O38" s="117" t="n"/>
    </row>
    <row r="39" ht="16.5" customHeight="1" s="276">
      <c r="M39" s="157" t="inlineStr">
        <is>
          <t>- 당사 매출은 과거 국내 재활로봇시장의 성장율과 마켓리서치 기관의 웨어러블로봇 시장의 가파른 성장 예측을 기반으로 하여 당사 주력제품인 엔젤메디의 정형/신경외과로의 횡적인 시장확대, CE 등 해외 인증을 통한 해외 수출 시장 개척과 정부주도 하의 산업 안전용 웨어러블 로봇 시장 성장 및 엔젤슈트 등의 신제품 출시를 반영하여 2025년 실적을 예측하였으나, 예상 밖의 의정갈등 및 정치불안에 따른 의료시장의 투자 위축 및 해외 인증 지연과 함께 산업용 웨어러블 제품에 대한 정부 지원 감소 등이 당사의 매출성장에 악영향을 끼쳐 기존 예측치 대비 77.73% 미달하였습니다.</t>
        </is>
      </c>
      <c r="N39" s="118" t="n"/>
      <c r="O39" s="118" t="n"/>
    </row>
    <row r="40">
      <c r="M40" s="117" t="n"/>
      <c r="N40" s="117" t="n"/>
      <c r="O40" s="117" t="n"/>
    </row>
    <row r="41">
      <c r="M41" s="161" t="inlineStr">
        <is>
          <t>[괴리사유 상세분석]</t>
        </is>
      </c>
      <c r="N41" s="127" t="n"/>
      <c r="O41" s="127" t="n"/>
    </row>
    <row r="42">
      <c r="M42" s="151" t="inlineStr">
        <is>
          <t>매출항목</t>
        </is>
      </c>
      <c r="N42" s="148" t="inlineStr">
        <is>
          <t>2025년</t>
        </is>
      </c>
      <c r="O42" s="149" t="n"/>
    </row>
    <row r="43">
      <c r="M43" s="139" t="inlineStr">
        <is>
          <t>angel MEDI</t>
        </is>
      </c>
      <c r="N43" s="146" t="inlineStr">
        <is>
          <t>발생사유</t>
        </is>
      </c>
      <c r="O43" s="153" t="inlineStr">
        <is>
          <t>- 의정갈등사태, 정치불안에 따른 국내 의료시장의 투자 위축 (57%)</t>
        </is>
      </c>
    </row>
    <row r="44">
      <c r="M44" s="140" t="n"/>
      <c r="N44" s="147" t="n"/>
      <c r="O44" s="154" t="inlineStr">
        <is>
          <t>- 유럽 등 해외 인증 지연에 따른 해외 수출 감소 (24%)</t>
        </is>
      </c>
    </row>
    <row r="45">
      <c r="M45" s="140" t="n"/>
      <c r="N45" s="146" t="inlineStr">
        <is>
          <t>상세내역</t>
        </is>
      </c>
      <c r="O45" s="153" t="inlineStr">
        <is>
          <t>- 의정갈등사태 및 정치불안의 지속에 따른 주요 고객인 (상급)종합병원을 비롯한 재활의료기관의 투자위축으로 angel MEDI M20의 국내 판매 저하</t>
        </is>
      </c>
    </row>
    <row r="46">
      <c r="M46" s="141" t="n"/>
      <c r="N46" s="147" t="n"/>
      <c r="O46" s="154" t="inlineStr">
        <is>
          <t>- 유럽 CE MDR 인증 지연으로 인해 태국, 베트남 및 말레이시아 시장 위주의 공략으로 예측치 대비 수출 실적 감소</t>
        </is>
      </c>
    </row>
    <row r="47">
      <c r="M47" s="139" t="inlineStr">
        <is>
          <t>angel SUIT</t>
        </is>
      </c>
      <c r="N47" s="75" t="inlineStr">
        <is>
          <t>발생사유</t>
        </is>
      </c>
      <c r="O47" s="155" t="inlineStr">
        <is>
          <t>- 2025년 5월 정식 출시 이후 예측치 대비 2.8억원 실적치 상회 (-2%)</t>
        </is>
      </c>
    </row>
    <row r="48">
      <c r="M48" s="141" t="n"/>
      <c r="N48" s="75" t="inlineStr">
        <is>
          <t>상세내역</t>
        </is>
      </c>
      <c r="O48" s="155" t="inlineStr">
        <is>
          <t>- (상급)종합병원 재활의료기관 외 정형외과까지 시장을 확대하여 실적치가 예측치보다 상회</t>
        </is>
      </c>
    </row>
    <row r="49">
      <c r="M49" s="139" t="inlineStr">
        <is>
          <t>angel GEAR</t>
        </is>
      </c>
      <c r="N49" s="146" t="inlineStr">
        <is>
          <t>발생사유</t>
        </is>
      </c>
      <c r="O49" s="153" t="inlineStr">
        <is>
          <t>- 정부주도(B2G) 산업안전용 웨어러블로봇 정부지원 감소 (10%)</t>
        </is>
      </c>
    </row>
    <row r="50">
      <c r="M50" s="140" t="n"/>
      <c r="N50" s="147" t="n"/>
      <c r="O50" s="154" t="inlineStr">
        <is>
          <t>- 민간주도(B2B) 산업안전용 웨어러블로봇 시장 개화 지연 (4%)</t>
        </is>
      </c>
    </row>
    <row r="51">
      <c r="M51" s="140" t="n"/>
      <c r="N51" s="146" t="inlineStr">
        <is>
          <t>상세내역</t>
        </is>
      </c>
      <c r="O51" s="153" t="inlineStr">
        <is>
          <t>- '스마트 안전장비 보급확산' 사업 등 정부주도의 산업용 웨어러블로봇 보급을 위한 정부보조금 감소에 따른 B2G 시장의 축소</t>
        </is>
      </c>
    </row>
    <row r="52">
      <c r="M52" s="141" t="n"/>
      <c r="N52" s="147" t="n"/>
      <c r="O52" s="154" t="inlineStr">
        <is>
          <t>- angel MEDI와 SUIT에 집중하는 사업 전략 실행으로 B2B 대응 사업 지연</t>
        </is>
      </c>
    </row>
    <row r="53">
      <c r="M53" s="139" t="inlineStr">
        <is>
          <t>용역매출</t>
        </is>
      </c>
      <c r="N53" s="75" t="inlineStr">
        <is>
          <t>발생사유</t>
        </is>
      </c>
      <c r="O53" s="155" t="inlineStr">
        <is>
          <t>- LIG넥스원과의 국방용 웨어러블 로봇 개발 용역 수주 등으로 예측치 충족</t>
        </is>
      </c>
    </row>
    <row r="54">
      <c r="M54" s="140" t="n"/>
      <c r="N54" s="146" t="inlineStr">
        <is>
          <t>상세내역</t>
        </is>
      </c>
      <c r="O54" s="153" t="inlineStr">
        <is>
          <t>- LIG넥스원과의 국방용 웨어러블 로봇 개발 용역 2025년 수주로 용역매출 증가</t>
        </is>
      </c>
    </row>
    <row r="55">
      <c r="M55" s="143" t="n"/>
      <c r="N55" s="152" t="n"/>
      <c r="O55" s="158" t="inlineStr">
        <is>
          <t>- 유상유지보수 증가로 인한 유상유지보수 용역매출 증가</t>
        </is>
      </c>
    </row>
    <row r="56" ht="16.5" customHeight="1" s="276">
      <c r="L56" s="160" t="n"/>
      <c r="M56" s="159" t="inlineStr">
        <is>
          <t>- 판매비와관리비 및 영업외손익은 예측치와 실적치간 중요한 괴리가 발생하지 않았으나, 매출 예측치 대비 실적의 괴리로 인해 영업이익과 순이익은 예측치 대비 각각 681.88%, 510.96% 미달하였습니다.</t>
        </is>
      </c>
      <c r="N56" s="159" t="n"/>
      <c r="O56" s="126" t="n"/>
    </row>
  </sheetData>
  <pageMargins left="0.75" right="0.75" top="1" bottom="1" header="0.5" footer="0.5"/>
  <pageSetup orientation="landscape" scale="98"/>
</worksheet>
</file>

<file path=xl/worksheets/sheet9.xml><?xml version="1.0" encoding="utf-8"?>
<worksheet xmlns="http://schemas.openxmlformats.org/spreadsheetml/2006/main">
  <sheetPr>
    <tabColor rgb="FF002060"/>
    <outlinePr summaryBelow="1" summaryRight="1"/>
    <pageSetUpPr/>
  </sheetPr>
  <dimension ref="A2:V40"/>
  <sheetViews>
    <sheetView showGridLines="0" view="pageBreakPreview" topLeftCell="A13" zoomScale="85" zoomScaleNormal="100" zoomScaleSheetLayoutView="85" workbookViewId="0">
      <selection activeCell="D26" sqref="D26"/>
    </sheetView>
  </sheetViews>
  <sheetFormatPr baseColWidth="8" defaultRowHeight="16.5"/>
  <cols>
    <col width="3" customWidth="1" style="276" min="1" max="2"/>
    <col width="26" customWidth="1" style="276" min="3" max="3"/>
    <col width="14" customWidth="1" style="276" min="4" max="8"/>
    <col width="11.5" customWidth="1" style="276" min="9" max="9"/>
    <col width="18.625" customWidth="1" style="276" min="11" max="11"/>
    <col width="13.875" bestFit="1" customWidth="1" style="276" min="12" max="12"/>
    <col width="10.875" bestFit="1" customWidth="1" style="276" min="13" max="13"/>
    <col width="9.75" bestFit="1" customWidth="1" style="276" min="14" max="14"/>
    <col width="10.875" bestFit="1" customWidth="1" style="276" min="15" max="16"/>
    <col width="9.75" customWidth="1" style="276" min="18" max="18"/>
    <col width="13.375" customWidth="1" style="276" min="19" max="19"/>
    <col width="14.75" bestFit="1" customWidth="1" style="276" min="20" max="22"/>
  </cols>
  <sheetData>
    <row r="2" ht="20.25" customHeight="1" s="276">
      <c r="A2" s="9" t="inlineStr">
        <is>
          <t>연구개발비 및 국가연구개발과제</t>
        </is>
      </c>
    </row>
    <row r="3">
      <c r="A3" s="2" t="n"/>
      <c r="B3" s="2" t="n"/>
      <c r="K3" s="162" t="inlineStr">
        <is>
          <t>(4) 연구개발 비용</t>
        </is>
      </c>
    </row>
    <row r="4">
      <c r="K4" s="116" t="inlineStr">
        <is>
          <t xml:space="preserve">            </t>
        </is>
      </c>
      <c r="R4" s="125" t="inlineStr">
        <is>
          <t>(단위: 원)</t>
        </is>
      </c>
    </row>
    <row r="5">
      <c r="B5" s="10" t="inlineStr">
        <is>
          <t>연구개발비용</t>
        </is>
      </c>
      <c r="K5" s="68" t="inlineStr">
        <is>
          <t>(단위: 천 원</t>
        </is>
      </c>
      <c r="R5" s="178" t="inlineStr">
        <is>
          <t>구분</t>
        </is>
      </c>
      <c r="S5" s="179" t="n"/>
      <c r="T5" s="77" t="inlineStr">
        <is>
          <t>2024년</t>
        </is>
      </c>
      <c r="U5" s="76" t="inlineStr">
        <is>
          <t>2025년</t>
        </is>
      </c>
      <c r="V5" s="76" t="inlineStr">
        <is>
          <t>2026년 반기</t>
        </is>
      </c>
    </row>
    <row r="6">
      <c r="C6" s="278" t="inlineStr">
        <is>
          <t>구분</t>
        </is>
      </c>
      <c r="D6" s="278" t="inlineStr">
        <is>
          <t>2022</t>
        </is>
      </c>
      <c r="E6" s="278" t="inlineStr">
        <is>
          <t>2023</t>
        </is>
      </c>
      <c r="F6" s="278" t="inlineStr">
        <is>
          <t>2024</t>
        </is>
      </c>
      <c r="G6" s="278" t="inlineStr">
        <is>
          <t>2025</t>
        </is>
      </c>
      <c r="H6" s="278" t="inlineStr">
        <is>
          <t>2026 반기</t>
        </is>
      </c>
      <c r="K6" s="192" t="inlineStr">
        <is>
          <t>구분</t>
        </is>
      </c>
      <c r="L6" s="193" t="n"/>
      <c r="M6" s="177" t="inlineStr">
        <is>
          <t>2020년</t>
        </is>
      </c>
      <c r="N6" s="176" t="inlineStr">
        <is>
          <t>2021년</t>
        </is>
      </c>
      <c r="O6" s="176" t="inlineStr">
        <is>
          <t>2022년</t>
        </is>
      </c>
      <c r="P6" s="176" t="inlineStr">
        <is>
          <t>2023년</t>
        </is>
      </c>
      <c r="R6" s="180" t="n"/>
      <c r="S6" s="181" t="n"/>
      <c r="T6" s="78" t="inlineStr">
        <is>
          <t>(제8기)</t>
        </is>
      </c>
      <c r="U6" s="69" t="inlineStr">
        <is>
          <t>(제9기)</t>
        </is>
      </c>
      <c r="V6" s="69" t="inlineStr">
        <is>
          <t>(제10기 반기)</t>
        </is>
      </c>
    </row>
    <row r="7">
      <c r="C7" s="8" t="inlineStr">
        <is>
          <t>인건비</t>
        </is>
      </c>
      <c r="D7" s="367">
        <f>+O7</f>
        <v/>
      </c>
      <c r="E7" s="367">
        <f>+P7</f>
        <v/>
      </c>
      <c r="F7" s="367">
        <f>(+T7)/1000</f>
        <v/>
      </c>
      <c r="G7" s="367">
        <f>(+U7)/1000</f>
        <v/>
      </c>
      <c r="H7" s="367">
        <f>(+V7)/1000</f>
        <v/>
      </c>
      <c r="K7" s="139" t="inlineStr">
        <is>
          <t>비용처리</t>
        </is>
      </c>
      <c r="L7" s="75" t="inlineStr">
        <is>
          <t>인건비</t>
        </is>
      </c>
      <c r="M7" s="102" t="n">
        <v>794408</v>
      </c>
      <c r="N7" s="101" t="n">
        <v>859175</v>
      </c>
      <c r="O7" s="101" t="n">
        <v>1630738</v>
      </c>
      <c r="P7" s="101" t="n">
        <v>1909715</v>
      </c>
      <c r="R7" s="139" t="inlineStr">
        <is>
          <t>비용처리</t>
        </is>
      </c>
      <c r="S7" s="75" t="inlineStr">
        <is>
          <t>인건비</t>
        </is>
      </c>
      <c r="T7" s="102" t="n">
        <v>2103821330</v>
      </c>
      <c r="U7" s="101" t="n">
        <v>2586177294</v>
      </c>
      <c r="V7" s="101" t="n">
        <v>1287276904</v>
      </c>
    </row>
    <row r="8">
      <c r="C8" s="8" t="inlineStr">
        <is>
          <t>재료비·외주비</t>
        </is>
      </c>
      <c r="D8" s="367">
        <f>+O8</f>
        <v/>
      </c>
      <c r="E8" s="367">
        <f>+P8</f>
        <v/>
      </c>
      <c r="F8" s="367">
        <f>(+T8)/1000</f>
        <v/>
      </c>
      <c r="G8" s="367">
        <f>(+U8)/1000</f>
        <v/>
      </c>
      <c r="H8" s="367">
        <f>(+V8)/1000</f>
        <v/>
      </c>
      <c r="K8" s="140" t="n"/>
      <c r="L8" s="75" t="inlineStr">
        <is>
          <t>재료비/외주비</t>
        </is>
      </c>
      <c r="M8" s="102" t="n">
        <v>786724</v>
      </c>
      <c r="N8" s="101" t="n">
        <v>1201669</v>
      </c>
      <c r="O8" s="101" t="n">
        <v>1830186</v>
      </c>
      <c r="P8" s="101" t="n">
        <v>1468212</v>
      </c>
      <c r="R8" s="140" t="n"/>
      <c r="S8" s="75" t="inlineStr">
        <is>
          <t>재료비/외주비</t>
        </is>
      </c>
      <c r="T8" s="102" t="n">
        <v>1529244201</v>
      </c>
      <c r="U8" s="101" t="n">
        <v>1862472197</v>
      </c>
      <c r="V8" s="101" t="n">
        <v>807686052</v>
      </c>
    </row>
    <row r="9">
      <c r="C9" s="198" t="inlineStr">
        <is>
          <t>연구개발비 합계</t>
        </is>
      </c>
      <c r="D9" s="368">
        <f>+O9</f>
        <v/>
      </c>
      <c r="E9" s="368">
        <f>+P9</f>
        <v/>
      </c>
      <c r="F9" s="368">
        <f>(+T9)/1000</f>
        <v/>
      </c>
      <c r="G9" s="368">
        <f>(+U9)/1000</f>
        <v/>
      </c>
      <c r="H9" s="368">
        <f>(+V9)/1000</f>
        <v/>
      </c>
      <c r="K9" s="140" t="n"/>
      <c r="L9" s="75" t="inlineStr">
        <is>
          <t>합계</t>
        </is>
      </c>
      <c r="M9" s="102" t="n">
        <v>1581132</v>
      </c>
      <c r="N9" s="101" t="n">
        <v>2060844</v>
      </c>
      <c r="O9" s="101" t="n">
        <v>3460924</v>
      </c>
      <c r="P9" s="101" t="n">
        <v>3377927</v>
      </c>
      <c r="R9" s="140" t="n"/>
      <c r="S9" s="75" t="inlineStr">
        <is>
          <t>합계</t>
        </is>
      </c>
      <c r="T9" s="102" t="n">
        <v>3633065531</v>
      </c>
      <c r="U9" s="101" t="n">
        <v>4448649491</v>
      </c>
      <c r="V9" s="101" t="n">
        <v>2094962956</v>
      </c>
    </row>
    <row r="10">
      <c r="C10" s="8" t="inlineStr">
        <is>
          <t>국고보조금</t>
        </is>
      </c>
      <c r="D10" s="367">
        <f>+O10</f>
        <v/>
      </c>
      <c r="E10" s="367">
        <f>+P10</f>
        <v/>
      </c>
      <c r="F10" s="367">
        <f>(+T10)/1000</f>
        <v/>
      </c>
      <c r="G10" s="367">
        <f>(+U10)/1000</f>
        <v/>
      </c>
      <c r="H10" s="367">
        <f>(+V10)/1000</f>
        <v/>
      </c>
      <c r="K10" s="140" t="n"/>
      <c r="L10" s="75" t="inlineStr">
        <is>
          <t>국고보조금</t>
        </is>
      </c>
      <c r="M10" s="102" t="n">
        <v>-1104789</v>
      </c>
      <c r="N10" s="101" t="n">
        <v>-990007</v>
      </c>
      <c r="O10" s="101" t="n">
        <v>-1585061</v>
      </c>
      <c r="P10" s="101" t="n">
        <v>-2183357</v>
      </c>
      <c r="R10" s="140" t="n"/>
      <c r="S10" s="75" t="inlineStr">
        <is>
          <t>국고보조금</t>
        </is>
      </c>
      <c r="T10" s="102" t="n">
        <v>-1202138423</v>
      </c>
      <c r="U10" s="101" t="n">
        <v>-1730818730</v>
      </c>
      <c r="V10" s="101" t="n">
        <v>-765828492</v>
      </c>
    </row>
    <row r="11">
      <c r="C11" s="198" t="inlineStr">
        <is>
          <t>보조금 차감 후</t>
        </is>
      </c>
      <c r="D11" s="368">
        <f>+O11</f>
        <v/>
      </c>
      <c r="E11" s="368">
        <f>+P11</f>
        <v/>
      </c>
      <c r="F11" s="368">
        <f>(+T11)/1000</f>
        <v/>
      </c>
      <c r="G11" s="368">
        <f>(+U11)/1000</f>
        <v/>
      </c>
      <c r="H11" s="368">
        <f>(+V11)/1000</f>
        <v/>
      </c>
      <c r="K11" s="141" t="n"/>
      <c r="L11" s="75" t="inlineStr">
        <is>
          <t>차감 후 합계</t>
        </is>
      </c>
      <c r="M11" s="102" t="n">
        <v>476343</v>
      </c>
      <c r="N11" s="101" t="n">
        <v>1070837</v>
      </c>
      <c r="O11" s="101" t="n">
        <v>1875863</v>
      </c>
      <c r="P11" s="101" t="n">
        <v>1194570</v>
      </c>
      <c r="R11" s="141" t="n"/>
      <c r="S11" s="142" t="inlineStr">
        <is>
          <t>차감 후 합계</t>
        </is>
      </c>
      <c r="T11" s="102" t="n">
        <v>2430927108</v>
      </c>
      <c r="U11" s="101" t="n">
        <v>2717830761</v>
      </c>
      <c r="V11" s="101" t="n">
        <v>1329134464</v>
      </c>
    </row>
    <row r="12">
      <c r="C12" s="8" t="inlineStr">
        <is>
          <t>매출액</t>
        </is>
      </c>
      <c r="D12" s="367">
        <f>+O12</f>
        <v/>
      </c>
      <c r="E12" s="367">
        <f>+P12</f>
        <v/>
      </c>
      <c r="F12" s="367">
        <f>(+T12)/1000</f>
        <v/>
      </c>
      <c r="G12" s="367">
        <f>(+U12)/1000</f>
        <v/>
      </c>
      <c r="H12" s="367">
        <f>(+V12)/1000</f>
        <v/>
      </c>
      <c r="K12" s="185" t="inlineStr">
        <is>
          <t>매출액</t>
        </is>
      </c>
      <c r="L12" s="186" t="n"/>
      <c r="M12" s="102" t="n">
        <v>208909</v>
      </c>
      <c r="N12" s="101" t="n">
        <v>813929</v>
      </c>
      <c r="O12" s="101" t="n">
        <v>2184312</v>
      </c>
      <c r="P12" s="101" t="n">
        <v>5146186</v>
      </c>
      <c r="R12" s="185" t="inlineStr">
        <is>
          <t>매출액</t>
        </is>
      </c>
      <c r="S12" s="186" t="n"/>
      <c r="T12" s="195" t="n">
        <v>4210953924</v>
      </c>
      <c r="U12" s="144" t="n">
        <v>4641312180</v>
      </c>
      <c r="V12" s="144" t="n">
        <v>1295353725</v>
      </c>
    </row>
    <row r="13">
      <c r="C13" s="8" t="inlineStr">
        <is>
          <t>매출액 대비 R&amp;D 비율</t>
        </is>
      </c>
      <c r="D13" s="369">
        <f>+D9/D12</f>
        <v/>
      </c>
      <c r="E13" s="369">
        <f>+E9/E12</f>
        <v/>
      </c>
      <c r="F13" s="369">
        <f>+F9/F12</f>
        <v/>
      </c>
      <c r="G13" s="369">
        <f>+G9/G12</f>
        <v/>
      </c>
      <c r="H13" s="369">
        <f>+H9/H12</f>
        <v/>
      </c>
      <c r="K13" s="188" t="inlineStr">
        <is>
          <t>(매출액 대비국고보조금</t>
        </is>
      </c>
      <c r="L13" s="187" t="n"/>
      <c r="M13" s="182" t="n">
        <v>7.5685</v>
      </c>
      <c r="N13" s="190" t="n">
        <v>2.532</v>
      </c>
      <c r="O13" s="190" t="n">
        <v>1.5844</v>
      </c>
      <c r="P13" s="190" t="n">
        <v>0.6564</v>
      </c>
      <c r="R13" s="188" t="inlineStr">
        <is>
          <t>(매출액 대비국고보조금</t>
        </is>
      </c>
      <c r="S13" s="187" t="n"/>
      <c r="T13" s="182" t="n">
        <v>0.8628</v>
      </c>
      <c r="U13" s="190" t="n">
        <v>0.9585</v>
      </c>
      <c r="V13" s="190" t="n">
        <v>1.6173</v>
      </c>
    </row>
    <row r="14">
      <c r="K14" s="194" t="inlineStr">
        <is>
          <t>차감 전 연구개발비율)</t>
        </is>
      </c>
      <c r="L14" s="183" t="n"/>
      <c r="M14" s="184" t="n"/>
      <c r="N14" s="191" t="n"/>
      <c r="O14" s="191" t="n"/>
      <c r="P14" s="191" t="n"/>
      <c r="R14" s="189" t="inlineStr">
        <is>
          <t>차감 전 연구개발비율)</t>
        </is>
      </c>
      <c r="S14" s="183" t="n"/>
      <c r="T14" s="184" t="n"/>
      <c r="U14" s="152" t="n"/>
      <c r="V14" s="152" t="n"/>
    </row>
    <row r="15">
      <c r="K15" s="83" t="n"/>
      <c r="L15" s="83" t="n"/>
      <c r="M15" s="83" t="n"/>
    </row>
    <row r="16" ht="17.25" customHeight="1" s="276" thickBot="1">
      <c r="B16" s="10" t="inlineStr">
        <is>
          <t>수행 중인 국가연구개발과제 (2026년 반기 기준)</t>
        </is>
      </c>
      <c r="C16" s="10" t="n"/>
      <c r="K16" s="256" t="inlineStr">
        <is>
          <t>투자판단 관련 주요경영사항</t>
        </is>
      </c>
      <c r="L16" s="83" t="n"/>
      <c r="M16" s="83" t="n"/>
    </row>
    <row r="17" ht="17.25" customHeight="1" s="276" thickBot="1">
      <c r="C17" s="278" t="inlineStr">
        <is>
          <t>과제명</t>
        </is>
      </c>
      <c r="D17" s="278" t="inlineStr">
        <is>
          <t>연구개발기간</t>
        </is>
      </c>
      <c r="E17" s="278" t="inlineStr">
        <is>
          <t>비고</t>
        </is>
      </c>
      <c r="K17" s="245" t="inlineStr">
        <is>
          <t>1. 제목</t>
        </is>
      </c>
      <c r="L17" s="246" t="n"/>
      <c r="M17" s="247" t="inlineStr">
        <is>
          <t>국책과제 선정(체내이식형 뇌-AI-로봇 실시간 연동 시스템 개발)</t>
        </is>
      </c>
    </row>
    <row r="18" ht="24" customHeight="1" s="276">
      <c r="C18" s="8" t="inlineStr">
        <is>
          <t>운동-감각 동기화가 가능한 Brain-to-Robot 풀스택 시스템 개발 및 상용화</t>
        </is>
      </c>
      <c r="D18" s="25" t="inlineStr">
        <is>
          <t>2026.04~2032.12</t>
        </is>
      </c>
      <c r="E18" s="25" t="inlineStr">
        <is>
          <t>수행중 (주관기관)</t>
        </is>
      </c>
      <c r="K18" s="248" t="inlineStr">
        <is>
          <t>2. 주요내용</t>
        </is>
      </c>
      <c r="L18" s="249" t="n"/>
      <c r="M18" s="250" t="inlineStr">
        <is>
          <t>당사는 산업통상부에서 주관하는 '범부처첨단의료기기연구개발'의 주관기관으로 주요 내용은 다음과 같습니다.</t>
        </is>
      </c>
    </row>
    <row r="19" ht="24" customHeight="1" s="276">
      <c r="C19" s="8" t="inlineStr">
        <is>
          <t>AI 기반의 웨어러블 로봇의 개인화 및 정밀건강 진단 서비스 개발</t>
        </is>
      </c>
      <c r="D19" s="25" t="inlineStr">
        <is>
          <t>2026.05~2027.04</t>
        </is>
      </c>
      <c r="E19" s="25" t="inlineStr">
        <is>
          <t>수행중</t>
        </is>
      </c>
      <c r="K19" s="251" t="n"/>
      <c r="L19" s="252" t="n"/>
      <c r="M19" s="253" t="inlineStr">
        <is>
          <t>1.과제명 : 운동-감각 동기화가 가능한 Brain-to-Robot 풀스텍 시스템 개발 및 상용화</t>
        </is>
      </c>
    </row>
    <row r="20" ht="24" customHeight="1" s="276">
      <c r="C20" s="8" t="inlineStr">
        <is>
          <t>소방대원 활동성 등 수행능력 지원을 위한 외골격 로보틱 슈트 개발</t>
        </is>
      </c>
      <c r="D20" s="25" t="inlineStr">
        <is>
          <t>2026.04~2028.12</t>
        </is>
      </c>
      <c r="E20" s="25" t="inlineStr">
        <is>
          <t>수행중</t>
        </is>
      </c>
      <c r="K20" s="251" t="n"/>
      <c r="L20" s="252" t="n"/>
      <c r="M20" s="253" t="inlineStr">
        <is>
          <t>2.전담기관: 범부처의료기기연구개발사업단</t>
        </is>
      </c>
    </row>
    <row r="21">
      <c r="K21" s="251" t="n"/>
      <c r="L21" s="252" t="n"/>
      <c r="M21" s="253" t="inlineStr">
        <is>
          <t>- 주관기관 : (주)엔젤로보틱스</t>
        </is>
      </c>
    </row>
    <row r="22">
      <c r="C22" s="49" t="inlineStr">
        <is>
          <t>과거 수행 과제 (2024년 사업보고서 기준, 참고)</t>
        </is>
      </c>
      <c r="K22" s="251" t="n"/>
      <c r="L22" s="252" t="n"/>
      <c r="M22" s="253" t="inlineStr">
        <is>
          <t>- 참여기관 :한국과학기술원, 서울대학교산학협력단, 한국산업기술시험원 등 10개 기관</t>
        </is>
      </c>
    </row>
    <row r="23" ht="22.5" customHeight="1" s="276">
      <c r="C23" s="50" t="inlineStr">
        <is>
          <t>웨어러블 로봇의 헬스케어 시장 확장을 위한 비즈니스 인프라 개발</t>
        </is>
      </c>
      <c r="D23" s="51" t="inlineStr">
        <is>
          <t>2025.01~2025.12</t>
        </is>
      </c>
      <c r="K23" s="251" t="n"/>
      <c r="L23" s="252" t="n"/>
      <c r="M23" s="253" t="inlineStr">
        <is>
          <t>3.과제수행기간 : 2026.04.01 ~ 2032.12.31(6년 9개월)</t>
        </is>
      </c>
    </row>
    <row r="24" ht="22.5" customHeight="1" s="276">
      <c r="C24" s="50" t="inlineStr">
        <is>
          <t>코어리스 마이크로모터 제조기술 개발 및 성능 검증</t>
        </is>
      </c>
      <c r="D24" s="51" t="inlineStr">
        <is>
          <t>2024.10~2028.12</t>
        </is>
      </c>
      <c r="K24" s="251" t="n"/>
      <c r="L24" s="252" t="n"/>
      <c r="M24" s="253" t="inlineStr">
        <is>
          <t>4.사업비</t>
        </is>
      </c>
    </row>
    <row r="25" ht="22.5" customHeight="1" s="276">
      <c r="C25" s="50" t="inlineStr">
        <is>
          <t>AI 기반 로봇을 위한 Sim-to-real 수준의 고토크-무저항 구동모듈 개발</t>
        </is>
      </c>
      <c r="D25" s="51" t="inlineStr">
        <is>
          <t>2024.07~2026.12</t>
        </is>
      </c>
      <c r="K25" s="251" t="n"/>
      <c r="L25" s="252" t="n"/>
      <c r="M25" s="253" t="inlineStr">
        <is>
          <t>1)총 사업비 : 235.47억원</t>
        </is>
      </c>
    </row>
    <row r="26" ht="22.5" customHeight="1" s="276">
      <c r="C26" s="50" t="inlineStr">
        <is>
          <t>조선소 Yard 위보기 용접 보조용 스마트 웨어러블 슈트 제품화</t>
        </is>
      </c>
      <c r="D26" s="51" t="inlineStr">
        <is>
          <t>2024.07~2026.12</t>
        </is>
      </c>
      <c r="K26" s="251" t="n"/>
      <c r="L26" s="252" t="n"/>
      <c r="M26" s="253" t="inlineStr">
        <is>
          <t>2)총 정부출연금 : 202.5억원(당사: 69.9억원)</t>
        </is>
      </c>
    </row>
    <row r="27" ht="22.5" customHeight="1" s="276">
      <c r="C27" s="50" t="inlineStr">
        <is>
          <t>가정과 일상 헬스케어 시장을 위한 웨어러블 로봇 제품 및 서비스 플랫폼 개발</t>
        </is>
      </c>
      <c r="D27" s="51" t="inlineStr">
        <is>
          <t>2022.04~2025.12</t>
        </is>
      </c>
      <c r="K27" s="251" t="n"/>
      <c r="L27" s="252" t="n"/>
      <c r="M27" s="253" t="inlineStr">
        <is>
          <t>3)총 민간부담금 : 33.2억원(당사: 23.3억원)</t>
        </is>
      </c>
    </row>
    <row r="28" ht="22.5" customHeight="1" s="276">
      <c r="C28" s="50" t="inlineStr">
        <is>
          <t>착용형 보행보조로봇 기반 재택 보행 재활 서비스 모델 개발 및 실증</t>
        </is>
      </c>
      <c r="D28" s="51" t="inlineStr">
        <is>
          <t>2023.07~2025.12</t>
        </is>
      </c>
      <c r="K28" s="251" t="n"/>
      <c r="L28" s="252" t="n"/>
      <c r="M28" s="253" t="inlineStr">
        <is>
          <t>4)자기자본 :32,626,209,747원</t>
        </is>
      </c>
    </row>
    <row r="29">
      <c r="A29" s="23" t="n"/>
      <c r="B29" s="23" t="inlineStr">
        <is>
          <t>출처: SK증권 기업분석(2025.05.29), 2024년 사업보고서 기준</t>
        </is>
      </c>
      <c r="K29" s="251" t="n"/>
      <c r="L29" s="252" t="n"/>
      <c r="M29" s="253" t="inlineStr">
        <is>
          <t>5)자기자본 대비 당사분 정부지원연구개발비 비율: 21.4%</t>
        </is>
      </c>
    </row>
    <row r="30">
      <c r="K30" s="251" t="n"/>
      <c r="L30" s="252" t="n"/>
      <c r="M30" s="253" t="inlineStr">
        <is>
          <t>5.사업내용 및 기대효과</t>
        </is>
      </c>
    </row>
    <row r="31">
      <c r="B31" s="10" t="inlineStr">
        <is>
          <t>양방향 Brain-to-Robot</t>
        </is>
      </c>
      <c r="K31" s="251" t="n"/>
      <c r="L31" s="252" t="n"/>
      <c r="M31" s="253" t="inlineStr">
        <is>
          <t>1)과제목표 :</t>
        </is>
      </c>
    </row>
    <row r="32">
      <c r="C32" s="257" t="inlineStr">
        <is>
          <t>- `26년 6월 범부처 첨단 의료기기 연구개발 사업의 플래그십 과제 주관기관 선정</t>
        </is>
      </c>
      <c r="K32" s="251" t="n"/>
      <c r="L32" s="252" t="n"/>
      <c r="M32" s="253" t="inlineStr">
        <is>
          <t>ㅇ 사지마비 장애인의 보행 및 조작 기능 복원을 위하여 고해상도 피질내 전극 기반의 양방향 뇌신경 인터페이스와 인간의 운동 제어 계층을 모사한 로봇 제어 아키텍처가 유기적으로 통합된, 감각 인코딩와 의도 디코딩을 동시에 수행하며 로봇을 제어하는 세계 최초의 양방향 Brain-to-Robot 기술을 개발함</t>
        </is>
      </c>
    </row>
    <row r="33">
      <c r="C33" s="257" t="inlineStr">
        <is>
          <t>- 총사업비 235.5억원(정부출연금 202.5억원) 규모로 한국과기원 등 10개 기관이 참여</t>
        </is>
      </c>
      <c r="K33" s="251" t="n"/>
      <c r="L33" s="252" t="n"/>
      <c r="M33" s="253" t="inlineStr">
        <is>
          <t>2) 기대효과</t>
        </is>
      </c>
    </row>
    <row r="34">
      <c r="C34" s="257" t="inlineStr">
        <is>
          <t>- 동사는 컨소시엄 촐괄 및 전신 착용형 외골격 로봇 개발</t>
        </is>
      </c>
      <c r="K34" s="251" t="n"/>
      <c r="L34" s="252" t="n"/>
      <c r="M34" s="253" t="inlineStr">
        <is>
          <t>ㅇ Brain-to-Robot 융합을 통한 신산업 생태계 및 명확한 기술 방향성 제시</t>
        </is>
      </c>
    </row>
    <row r="35">
      <c r="K35" s="251" t="n"/>
      <c r="L35" s="252" t="n"/>
      <c r="M35" s="253" t="inlineStr">
        <is>
          <t>ㅇ 뇌-로봇 통합 제어(Brain-to-Robot) 원천 기술 확보</t>
        </is>
      </c>
    </row>
    <row r="36" ht="17.25" customHeight="1" s="276" thickBot="1">
      <c r="C36" s="258" t="inlineStr">
        <is>
          <t>&gt;&gt;단계별 개발계획</t>
        </is>
      </c>
      <c r="K36" s="251" t="n"/>
      <c r="L36" s="252" t="n"/>
      <c r="M36" s="254" t="inlineStr">
        <is>
          <t>ㅇ 체내이식형 의료기기 분야의 선제적 규제 가이드라인 확립이식형 의료기기의 기술적 한계를 극복하는 고신뢰성 하드웨어 기술 내재화</t>
        </is>
      </c>
    </row>
    <row r="37" ht="17.25" customHeight="1" s="276" thickBot="1">
      <c r="C37" s="278" t="inlineStr">
        <is>
          <t>핵심목표</t>
        </is>
      </c>
      <c r="D37" s="278" t="inlineStr">
        <is>
          <t>기간</t>
        </is>
      </c>
      <c r="E37" s="278" t="inlineStr">
        <is>
          <t>산출물</t>
        </is>
      </c>
      <c r="K37" s="245" t="inlineStr">
        <is>
          <t>3. 사실발생(확인)일</t>
        </is>
      </c>
      <c r="L37" s="252" t="n"/>
      <c r="M37" s="255" t="n">
        <v>46185</v>
      </c>
    </row>
    <row r="38" ht="17.25" customHeight="1" s="276" thickBot="1">
      <c r="C38" s="258" t="inlineStr">
        <is>
          <t>1. 요소기술 확보</t>
        </is>
      </c>
      <c r="D38" s="258" t="inlineStr">
        <is>
          <t>2026-2027</t>
        </is>
      </c>
      <c r="E38" s="257" t="inlineStr">
        <is>
          <t>- Brain-to-Robot 전용 외골격 로봇 핵심요소, 실시간 제어 아키텍처</t>
        </is>
      </c>
      <c r="K38" s="245" t="inlineStr">
        <is>
          <t>4. 결정일</t>
        </is>
      </c>
      <c r="L38" s="252" t="n"/>
      <c r="M38" s="255" t="n">
        <v>46185</v>
      </c>
    </row>
    <row r="39">
      <c r="C39" s="258" t="inlineStr">
        <is>
          <t>2. 통합 및 최초 인체 임상</t>
        </is>
      </c>
      <c r="D39" s="258" t="inlineStr">
        <is>
          <t>2028-2029</t>
        </is>
      </c>
      <c r="E39" s="257" t="inlineStr">
        <is>
          <t>- HW/SW 통합 시스템, 임상시험용 기기</t>
        </is>
      </c>
    </row>
    <row r="40">
      <c r="C40" s="258" t="inlineStr">
        <is>
          <t>3 . 식약처 인허가 및 상용화</t>
        </is>
      </c>
      <c r="D40" s="258" t="inlineStr">
        <is>
          <t>2030-2032</t>
        </is>
      </c>
      <c r="E40" s="257" t="inlineStr">
        <is>
          <t>- 조합의료기기 인허가, 초기 상용 제품</t>
        </is>
      </c>
    </row>
  </sheetData>
  <pageMargins left="0.75" right="0.75" top="1" bottom="1" header="0.5" footer="0.5"/>
  <pageSetup orientation="landscape" scale="63"/>
</worksheet>
</file>

<file path=xl/worksheets/sheet10.xml><?xml version="1.0" encoding="utf-8"?>
<worksheet xmlns="http://schemas.openxmlformats.org/spreadsheetml/2006/main">
  <sheetPr>
    <outlinePr summaryBelow="1" summaryRight="1"/>
    <pageSetUpPr/>
  </sheetPr>
  <dimension ref="A2:O66"/>
  <sheetViews>
    <sheetView showGridLines="0" workbookViewId="0">
      <selection activeCell="A1" sqref="A1"/>
    </sheetView>
  </sheetViews>
  <sheetFormatPr baseColWidth="8" defaultRowHeight="15"/>
  <cols>
    <col width="3" customWidth="1" style="276" min="1" max="1"/>
    <col width="14" customWidth="1" style="276" min="2" max="2"/>
    <col width="22" customWidth="1" style="276" min="3" max="3"/>
    <col width="18" customWidth="1" style="276" min="4" max="4"/>
    <col width="30" customWidth="1" style="276" min="5" max="5"/>
    <col width="13" customWidth="1" style="276" min="6" max="6"/>
    <col width="17" customWidth="1" style="276" min="7" max="7"/>
    <col width="26" customWidth="1" style="276" min="8" max="8"/>
    <col width="40" customWidth="1" style="276" min="9" max="9"/>
    <col width="3" customWidth="1" style="276" min="10" max="10"/>
    <col width="3" customWidth="1" style="276" min="11" max="11"/>
    <col width="3" customWidth="1" style="276" min="12" max="12"/>
    <col width="3" customWidth="1" style="276" min="13" max="13"/>
    <col width="3" customWidth="1" style="276" min="14" max="14"/>
    <col width="60" customWidth="1" style="276" min="15" max="15"/>
  </cols>
  <sheetData>
    <row r="2">
      <c r="A2" s="370" t="inlineStr">
        <is>
          <t>인허가 및 기술 검증 이력</t>
        </is>
      </c>
    </row>
    <row r="3">
      <c r="A3" s="371" t="inlineStr">
        <is>
          <t>1차 출처: 제10기 반기보고서(2026.06.30) — 「바. 주요 인증 내역」은 [인증현황] 시트에 원문 수록, 아래 표의 인증일·유효기간은 해당 시트를 수식 참조</t>
        </is>
      </c>
    </row>
    <row r="5">
      <c r="A5" s="372" t="inlineStr">
        <is>
          <t>x</t>
        </is>
      </c>
      <c r="B5" s="373" t="inlineStr">
        <is>
          <t>해외 인허가 현황</t>
        </is>
      </c>
      <c r="O5" s="374" t="inlineStr">
        <is>
          <t>https://zdnet.co.kr/view/?no=20260805083950</t>
        </is>
      </c>
    </row>
    <row r="6">
      <c r="C6" s="375" t="inlineStr">
        <is>
          <t>국가/지역</t>
        </is>
      </c>
      <c r="D6" s="375" t="inlineStr">
        <is>
          <t>규제기관</t>
        </is>
      </c>
      <c r="E6" s="375" t="inlineStr">
        <is>
          <t>대상 제품</t>
        </is>
      </c>
      <c r="F6" s="375" t="inlineStr">
        <is>
          <t>인증일</t>
        </is>
      </c>
      <c r="G6" s="375" t="inlineStr">
        <is>
          <t>유효기간</t>
        </is>
      </c>
      <c r="H6" s="375" t="inlineStr">
        <is>
          <t>현황</t>
        </is>
      </c>
      <c r="I6" s="375" t="inlineStr">
        <is>
          <t>근거 (행별)</t>
        </is>
      </c>
      <c r="O6" s="374" t="inlineStr">
        <is>
          <t>출처: 반기보고서 「바. 주요 인증 내역」·연혁·사업의 내용 / 2026.08 베트남 H10은 언론 보도</t>
        </is>
      </c>
    </row>
    <row r="7">
      <c r="C7" s="376" t="inlineStr">
        <is>
          <t>태국</t>
        </is>
      </c>
      <c r="D7" s="377" t="inlineStr">
        <is>
          <t>TFDA</t>
        </is>
      </c>
      <c r="E7" s="377">
        <f>+인증현황!C73</f>
        <v/>
      </c>
      <c r="F7" s="377">
        <f>+인증현황!D71</f>
        <v/>
      </c>
      <c r="G7" s="377">
        <f>+인증현황!D72</f>
        <v/>
      </c>
      <c r="H7" s="377" t="inlineStr">
        <is>
          <t>2025.06 인증 획득 → 수출 개시</t>
        </is>
      </c>
      <c r="I7" s="378" t="inlineStr">
        <is>
          <t>인증현황 No.28 + 연혁 「2025.06 태국 TFDA 인증 획득」</t>
        </is>
      </c>
    </row>
    <row r="8">
      <c r="C8" s="376" t="inlineStr">
        <is>
          <t>베트남</t>
        </is>
      </c>
      <c r="D8" s="377" t="inlineStr">
        <is>
          <t>보건복지부(MOH)</t>
        </is>
      </c>
      <c r="E8" s="377">
        <f>+인증현황!C76</f>
        <v/>
      </c>
      <c r="F8" s="377">
        <f>+인증현황!D74</f>
        <v/>
      </c>
      <c r="G8" s="377">
        <f>+인증현황!D75</f>
        <v/>
      </c>
      <c r="H8" s="377" t="inlineStr">
        <is>
          <t>2025.07 인증 획득 → 수출 개시</t>
        </is>
      </c>
      <c r="I8" s="378" t="inlineStr">
        <is>
          <t>인증현황 No.29 + 연혁 「2025.07 베트남 보건복지부 인증 획득」</t>
        </is>
      </c>
    </row>
    <row r="9">
      <c r="C9" s="376" t="inlineStr">
        <is>
          <t>말레이시아</t>
        </is>
      </c>
      <c r="D9" s="377" t="inlineStr">
        <is>
          <t>의료기기청(MDA)</t>
        </is>
      </c>
      <c r="E9" s="377">
        <f>+인증현황!C81</f>
        <v/>
      </c>
      <c r="F9" s="377">
        <f>+인증현황!D79</f>
        <v/>
      </c>
      <c r="G9" s="377">
        <f>+인증현황!D80</f>
        <v/>
      </c>
      <c r="H9" s="377" t="inlineStr">
        <is>
          <t>2025.11 인증 → 2026.01 공식 출시</t>
        </is>
      </c>
      <c r="I9" s="378" t="inlineStr">
        <is>
          <t>인증현황 No.31 + 연혁 「2025.12 MDA 인증」·「2026.01 공식 출시」</t>
        </is>
      </c>
    </row>
    <row r="10">
      <c r="C10" s="376" t="inlineStr">
        <is>
          <t>말레이시아</t>
        </is>
      </c>
      <c r="D10" s="377" t="inlineStr">
        <is>
          <t>의료기기청(MDA)</t>
        </is>
      </c>
      <c r="E10" s="377">
        <f>+인증현황!C87</f>
        <v/>
      </c>
      <c r="F10" s="377">
        <f>+인증현황!D85</f>
        <v/>
      </c>
      <c r="G10" s="377">
        <f>+인증현황!D86</f>
        <v/>
      </c>
      <c r="H10" s="377" t="inlineStr">
        <is>
          <t>2026.04 인증 획득 (신제품 H10 첫 해외 인증)</t>
        </is>
      </c>
      <c r="I10" s="378" t="inlineStr">
        <is>
          <t>인증현황 No.33 + 사업의 내용 「H10 말레이시아 인허가 완료」</t>
        </is>
      </c>
    </row>
    <row r="11">
      <c r="C11" s="376" t="inlineStr">
        <is>
          <t>베트남</t>
        </is>
      </c>
      <c r="D11" s="377" t="inlineStr">
        <is>
          <t>보건복지부(MOH)</t>
        </is>
      </c>
      <c r="E11" s="377" t="inlineStr">
        <is>
          <t>ANGEL SUIT H10</t>
        </is>
      </c>
      <c r="F11" s="377" t="inlineStr">
        <is>
          <t>2026.08.05</t>
        </is>
      </c>
      <c r="G11" s="377" t="inlineStr">
        <is>
          <t>-</t>
        </is>
      </c>
      <c r="H11" s="377" t="inlineStr">
        <is>
          <t>Class B 의료기기 등록 완료 (H10 2번째 해외 등록)</t>
        </is>
      </c>
      <c r="I11" s="378" t="inlineStr">
        <is>
          <t>언론 보도(2026.08.05). 반기보고서 기준일 이후 사건으로 공시 미반영</t>
        </is>
      </c>
    </row>
    <row r="12">
      <c r="C12" s="376" t="inlineStr">
        <is>
          <t>태국</t>
        </is>
      </c>
      <c r="D12" s="377" t="inlineStr">
        <is>
          <t>TFDA</t>
        </is>
      </c>
      <c r="E12" s="377" t="inlineStr">
        <is>
          <t>ANGEL SUIT H10</t>
        </is>
      </c>
      <c r="F12" s="377" t="inlineStr">
        <is>
          <t>-</t>
        </is>
      </c>
      <c r="G12" s="377" t="inlineStr">
        <is>
          <t>-</t>
        </is>
      </c>
      <c r="H12" s="377" t="inlineStr">
        <is>
          <t>현지 대리점 계약 체결, 제품 등록·인허가 진행 중</t>
        </is>
      </c>
      <c r="I12" s="378" t="inlineStr">
        <is>
          <t>반기보고서 사업의 내용</t>
        </is>
      </c>
    </row>
    <row r="13">
      <c r="C13" s="376" t="inlineStr">
        <is>
          <t>인도네시아·싱가포르</t>
        </is>
      </c>
      <c r="D13" s="377" t="inlineStr">
        <is>
          <t>각국 규제기관</t>
        </is>
      </c>
      <c r="E13" s="377" t="inlineStr">
        <is>
          <t>엔젤렉스 M20 외</t>
        </is>
      </c>
      <c r="F13" s="377" t="inlineStr">
        <is>
          <t>-</t>
        </is>
      </c>
      <c r="G13" s="377" t="inlineStr">
        <is>
          <t>-</t>
        </is>
      </c>
      <c r="H13" s="377" t="inlineStr">
        <is>
          <t>인증 취득 범위 확대 예정</t>
        </is>
      </c>
      <c r="I13" s="378" t="inlineStr">
        <is>
          <t>반기보고서 사업의 내용</t>
        </is>
      </c>
    </row>
    <row r="14">
      <c r="C14" s="376" t="inlineStr">
        <is>
          <t>유럽</t>
        </is>
      </c>
      <c r="D14" s="377" t="inlineStr">
        <is>
          <t>CE MDR</t>
        </is>
      </c>
      <c r="E14" s="377" t="inlineStr">
        <is>
          <t>엔젤렉스 M20 외</t>
        </is>
      </c>
      <c r="F14" s="377" t="inlineStr">
        <is>
          <t>-</t>
        </is>
      </c>
      <c r="G14" s="377" t="inlineStr">
        <is>
          <t>-</t>
        </is>
      </c>
      <c r="H14" s="377" t="inlineStr">
        <is>
          <t>인증 지연 → 2024·2025년 수출 실적 미달 사유</t>
        </is>
      </c>
      <c r="I14" s="378" t="inlineStr">
        <is>
          <t>반기보고서 「예측치 대비 실적 비교」 괴리사유</t>
        </is>
      </c>
    </row>
    <row r="15">
      <c r="C15" s="376" t="inlineStr">
        <is>
          <t>미국</t>
        </is>
      </c>
      <c r="D15" s="377" t="inlineStr">
        <is>
          <t>FDA</t>
        </is>
      </c>
      <c r="E15" s="377" t="inlineStr">
        <is>
          <t>angel GEAR (ANGEL X)</t>
        </is>
      </c>
      <c r="F15" s="377" t="inlineStr">
        <is>
          <t>2022.12</t>
        </is>
      </c>
      <c r="G15" s="377" t="inlineStr">
        <is>
          <t>-</t>
        </is>
      </c>
      <c r="H15" s="377" t="inlineStr">
        <is>
          <t>등록 완료</t>
        </is>
      </c>
      <c r="I15" s="378" t="inlineStr">
        <is>
          <t>반기보고서 연혁 「2022.12 'ANGEL X' 美 FDA 등록」</t>
        </is>
      </c>
    </row>
    <row r="16">
      <c r="C16" s="376" t="inlineStr">
        <is>
          <t>미국</t>
        </is>
      </c>
      <c r="D16" s="377" t="inlineStr">
        <is>
          <t>FDA</t>
        </is>
      </c>
      <c r="E16" s="377" t="inlineStr">
        <is>
          <t>angel SUIT / 의료기기 라인</t>
        </is>
      </c>
      <c r="F16" s="377" t="inlineStr">
        <is>
          <t>-</t>
        </is>
      </c>
      <c r="G16" s="377" t="inlineStr">
        <is>
          <t>-</t>
        </is>
      </c>
      <c r="H16" s="377" t="inlineStr">
        <is>
          <t>2026년 하반기 인증 준비 착수 예정</t>
        </is>
      </c>
      <c r="I16" s="378" t="inlineStr">
        <is>
          <t>반기보고서 사업의 내용</t>
        </is>
      </c>
    </row>
    <row r="17">
      <c r="C17" s="376" t="inlineStr">
        <is>
          <t>말레이시아 UiTM</t>
        </is>
      </c>
      <c r="D17" s="377" t="inlineStr">
        <is>
          <t>(임상 협력)</t>
        </is>
      </c>
      <c r="E17" s="377" t="inlineStr">
        <is>
          <t>엔젤렉스 M20 2기 보급</t>
        </is>
      </c>
      <c r="F17" s="377" t="inlineStr">
        <is>
          <t>2022.05</t>
        </is>
      </c>
      <c r="G17" s="377" t="inlineStr">
        <is>
          <t>-</t>
        </is>
      </c>
      <c r="H17" s="377" t="inlineStr">
        <is>
          <t>전략적 협약(MOA) — 이후 다기관 RCT 참여기관</t>
        </is>
      </c>
      <c r="I17" s="378" t="inlineStr">
        <is>
          <t>반기보고서 연혁 + 연구개발활동</t>
        </is>
      </c>
    </row>
    <row r="18">
      <c r="A18" s="379" t="inlineStr">
        <is>
          <t>주1) 인증일·유효기간은 [인증현황] 시트 원문을 수식 참조하므로 원문 갱신 시 자동 반영됨</t>
        </is>
      </c>
    </row>
    <row r="19">
      <c r="A19" s="379" t="inlineStr">
        <is>
          <t>주2) 연혁 표는 말레이시아 M20을 2025.12로 기재하나 인증서 발급일은 2025.11.27 — 본 표는 인증서 발급일 기준</t>
        </is>
      </c>
    </row>
    <row r="20">
      <c r="A20" s="380" t="inlineStr">
        <is>
          <t>주3) 리딩투자증권(2025.12.16)은 태국·베트남 인허가를 '2023~2024년 획득'으로 서술하나 공시와 불일치. 공시 우선 적용</t>
        </is>
      </c>
    </row>
    <row r="23">
      <c r="A23" s="372" t="inlineStr">
        <is>
          <t>x</t>
        </is>
      </c>
      <c r="B23" s="373" t="inlineStr">
        <is>
          <t>인증 보유 현황 요약 (반기보고서 기준 34건)</t>
        </is>
      </c>
    </row>
    <row r="24">
      <c r="C24" s="375" t="inlineStr">
        <is>
          <t>구분</t>
        </is>
      </c>
      <c r="D24" s="375" t="inlineStr">
        <is>
          <t>Unit</t>
        </is>
      </c>
      <c r="E24" s="375" t="inlineStr">
        <is>
          <t>MEDI</t>
        </is>
      </c>
      <c r="F24" s="375" t="inlineStr">
        <is>
          <t>SUIT</t>
        </is>
      </c>
      <c r="G24" s="375" t="inlineStr">
        <is>
          <t>GEAR</t>
        </is>
      </c>
      <c r="H24" s="375" t="inlineStr">
        <is>
          <t>KIT</t>
        </is>
      </c>
      <c r="I24" s="375" t="inlineStr">
        <is>
          <t>시스템/기타</t>
        </is>
      </c>
      <c r="J24" s="375" t="inlineStr">
        <is>
          <t>합계</t>
        </is>
      </c>
    </row>
    <row r="25">
      <c r="C25" s="376" t="inlineStr">
        <is>
          <t>제품군별 인증 건수</t>
        </is>
      </c>
      <c r="D25" s="377" t="inlineStr">
        <is>
          <t>건</t>
        </is>
      </c>
      <c r="E25" s="377">
        <f>COUNTIF(인증현황!$E$8:$E$89,"MEDI 제품군")</f>
        <v/>
      </c>
      <c r="F25" s="377">
        <f>COUNTIF(인증현황!$E$8:$E$89,"SUIT 제품군")</f>
        <v/>
      </c>
      <c r="G25" s="377">
        <f>COUNTIF(인증현황!$E$8:$E$89,"GEAR 제품군")</f>
        <v/>
      </c>
      <c r="H25" s="377">
        <f>COUNTIF(인증현황!$E$8:$E$89,"KIT 제품군")</f>
        <v/>
      </c>
      <c r="I25" s="377">
        <f>COUNTIF(인증현황!$E$8:$E$89,"-")</f>
        <v/>
      </c>
      <c r="J25" s="377">
        <f>SUM(E25:I25)</f>
        <v/>
      </c>
    </row>
    <row r="26">
      <c r="C26" s="375" t="inlineStr">
        <is>
          <t>구분</t>
        </is>
      </c>
      <c r="D26" s="375" t="inlineStr">
        <is>
          <t>Unit</t>
        </is>
      </c>
      <c r="E26" s="375" t="inlineStr">
        <is>
          <t>대한민국</t>
        </is>
      </c>
      <c r="F26" s="375" t="inlineStr">
        <is>
          <t>태국</t>
        </is>
      </c>
      <c r="G26" s="375" t="inlineStr">
        <is>
          <t>베트남</t>
        </is>
      </c>
      <c r="H26" s="375" t="inlineStr">
        <is>
          <t>말레이시아</t>
        </is>
      </c>
      <c r="I26" s="375" t="inlineStr"/>
      <c r="J26" s="375" t="inlineStr">
        <is>
          <t>합계</t>
        </is>
      </c>
    </row>
    <row r="27">
      <c r="C27" s="376" t="inlineStr">
        <is>
          <t>출원국별 인증 건수</t>
        </is>
      </c>
      <c r="D27" s="377" t="inlineStr">
        <is>
          <t>건</t>
        </is>
      </c>
      <c r="E27" s="377">
        <f>COUNTIF(인증현황!$F$8:$F$89,"대한민국")</f>
        <v/>
      </c>
      <c r="F27" s="377">
        <f>COUNTIF(인증현황!$F$8:$F$89,"태국")</f>
        <v/>
      </c>
      <c r="G27" s="377">
        <f>COUNTIF(인증현황!$F$8:$F$89,"베트남")</f>
        <v/>
      </c>
      <c r="H27" s="377">
        <f>COUNTIF(인증현황!$F$8:$F$89,"말레이시아")</f>
        <v/>
      </c>
      <c r="I27" s="377" t="inlineStr"/>
      <c r="J27" s="377">
        <f>SUM(E27:H27)</f>
        <v/>
      </c>
    </row>
    <row r="28">
      <c r="A28" s="379" t="inlineStr">
        <is>
          <t>주) [인증현황] 시트 원문을 COUNTIF로 집계. 반기보고서 기준일(2026.06.30) 이후 취득한 베트남 H10은 미포함</t>
        </is>
      </c>
    </row>
    <row r="31">
      <c r="A31" s="372" t="inlineStr">
        <is>
          <t>x</t>
        </is>
      </c>
      <c r="B31" s="373" t="inlineStr">
        <is>
          <t>수가 적용의 전제가 된 국내 인허가</t>
        </is>
      </c>
    </row>
    <row r="32">
      <c r="C32" s="375" t="inlineStr">
        <is>
          <t>구분</t>
        </is>
      </c>
      <c r="D32" s="375" t="inlineStr">
        <is>
          <t>인증 명칭</t>
        </is>
      </c>
      <c r="E32" s="375" t="inlineStr">
        <is>
          <t>대상 제품</t>
        </is>
      </c>
      <c r="F32" s="375" t="inlineStr">
        <is>
          <t>인증일</t>
        </is>
      </c>
      <c r="G32" s="375" t="inlineStr">
        <is>
          <t>유효기간</t>
        </is>
      </c>
      <c r="H32" s="375" t="inlineStr">
        <is>
          <t>의의</t>
        </is>
      </c>
    </row>
    <row r="33">
      <c r="C33" s="376" t="inlineStr">
        <is>
          <t>의료기기 3등급</t>
        </is>
      </c>
      <c r="D33" s="377">
        <f>+인증현황!C18</f>
        <v/>
      </c>
      <c r="E33" s="377">
        <f>+인증현황!C19</f>
        <v/>
      </c>
      <c r="F33" s="377">
        <f>+인증현황!D17</f>
        <v/>
      </c>
      <c r="G33" s="377">
        <f>+인증현황!D18</f>
        <v/>
      </c>
      <c r="H33" s="377" t="inlineStr">
        <is>
          <t>웨어러블 로봇 최초 3등급 품목허가 → MM304 선별급여 적용 개시의 전제</t>
        </is>
      </c>
    </row>
    <row r="34">
      <c r="C34" s="376" t="inlineStr">
        <is>
          <t>의료기기 2등급</t>
        </is>
      </c>
      <c r="D34" s="377">
        <f>+인증현황!C15</f>
        <v/>
      </c>
      <c r="E34" s="377">
        <f>+인증현황!C16</f>
        <v/>
      </c>
      <c r="F34" s="377">
        <f>+인증현황!D14</f>
        <v/>
      </c>
      <c r="G34" s="377">
        <f>+인증현황!D15</f>
        <v/>
      </c>
      <c r="H34" s="377" t="inlineStr">
        <is>
          <t>MEDI 제품군 기본 등급</t>
        </is>
      </c>
    </row>
    <row r="35">
      <c r="C35" s="376" t="inlineStr">
        <is>
          <t>의료기기 2등급</t>
        </is>
      </c>
      <c r="D35" s="377">
        <f>+인증현황!C66</f>
        <v/>
      </c>
      <c r="E35" s="377">
        <f>+인증현황!C67</f>
        <v/>
      </c>
      <c r="F35" s="377">
        <f>+인증현황!D65</f>
        <v/>
      </c>
      <c r="G35" s="377">
        <f>+인증현황!D66</f>
        <v/>
      </c>
      <c r="H35" s="377" t="inlineStr">
        <is>
          <t>angel SUIT H10 포함 SUIT 제품군</t>
        </is>
      </c>
    </row>
    <row r="36">
      <c r="C36" s="376" t="inlineStr">
        <is>
          <t>혁신제품 지정</t>
        </is>
      </c>
      <c r="D36" s="377">
        <f>+인증현황!C23</f>
        <v/>
      </c>
      <c r="E36" s="377">
        <f>+인증현황!C24</f>
        <v/>
      </c>
      <c r="F36" s="377">
        <f>+인증현황!D23</f>
        <v/>
      </c>
      <c r="G36" s="377">
        <f>+인증현황!D24</f>
        <v/>
      </c>
      <c r="H36" s="377" t="inlineStr">
        <is>
          <t>공공조달 수의계약 자격 — 2027.09 만료</t>
        </is>
      </c>
    </row>
    <row r="37">
      <c r="C37" s="376" t="inlineStr">
        <is>
          <t>GMP</t>
        </is>
      </c>
      <c r="D37" s="377">
        <f>+인증현황!C8</f>
        <v/>
      </c>
      <c r="E37" s="377">
        <f>+인증현황!C9</f>
        <v/>
      </c>
      <c r="F37" s="377">
        <f>+인증현황!D8</f>
        <v/>
      </c>
      <c r="G37" s="377">
        <f>+인증현황!D9</f>
        <v/>
      </c>
      <c r="H37" s="377" t="inlineStr">
        <is>
          <t>의료기기 제조·품질관리 기준</t>
        </is>
      </c>
    </row>
    <row r="38">
      <c r="A38" s="380" t="inlineStr">
        <is>
          <t>⚠ 의료기기 3등급 허가는 2027.12.13, 혁신제품 지정은 2027.09.23 만료 — 갱신 여부가 수가 매출의 전제조건</t>
        </is>
      </c>
    </row>
    <row r="41">
      <c r="A41" s="372" t="inlineStr">
        <is>
          <t>x</t>
        </is>
      </c>
      <c r="B41" s="373" t="inlineStr">
        <is>
          <t>기술 검증 이력</t>
        </is>
      </c>
    </row>
    <row r="42">
      <c r="C42" s="375" t="inlineStr">
        <is>
          <t>시기</t>
        </is>
      </c>
      <c r="D42" s="375" t="inlineStr">
        <is>
          <t>구분</t>
        </is>
      </c>
      <c r="E42" s="375" t="inlineStr">
        <is>
          <t>내용</t>
        </is>
      </c>
      <c r="F42" s="375" t="inlineStr">
        <is>
          <t>근거 (행별)</t>
        </is>
      </c>
    </row>
    <row r="43">
      <c r="C43" s="376" t="inlineStr">
        <is>
          <t>2018.02</t>
        </is>
      </c>
      <c r="D43" s="377" t="inlineStr">
        <is>
          <t>행사</t>
        </is>
      </c>
      <c r="E43" s="377" t="inlineStr">
        <is>
          <t>워크온슈트 평창 패럴림픽 성화봉송 행사지원</t>
        </is>
      </c>
      <c r="F43" s="378" t="inlineStr">
        <is>
          <t>반기보고서 연혁</t>
        </is>
      </c>
    </row>
    <row r="44">
      <c r="C44" s="376" t="inlineStr">
        <is>
          <t>2018</t>
        </is>
      </c>
      <c r="D44" s="377" t="inlineStr">
        <is>
          <t>수상</t>
        </is>
      </c>
      <c r="E44" s="377" t="inlineStr">
        <is>
          <t>올해의 대한민국 로봇기업</t>
        </is>
      </c>
      <c r="F44" s="378" t="inlineStr">
        <is>
          <t>한국IR협의회(2024.09.26) — 반기보고서 연혁 미기재 (2차)</t>
        </is>
      </c>
    </row>
    <row r="45">
      <c r="C45" s="376" t="inlineStr">
        <is>
          <t>2020.11</t>
        </is>
      </c>
      <c r="D45" s="377" t="inlineStr">
        <is>
          <t>수상</t>
        </is>
      </c>
      <c r="E45" s="377" t="inlineStr">
        <is>
          <t>국제 사이보그 올림픽(Cybathlon) 전동형 외골격 금메달·동메달</t>
        </is>
      </c>
      <c r="F45" s="378" t="inlineStr">
        <is>
          <t>반기보고서 연혁</t>
        </is>
      </c>
    </row>
    <row r="46">
      <c r="C46" s="376" t="inlineStr">
        <is>
          <t>2021.09</t>
        </is>
      </c>
      <c r="D46" s="377" t="inlineStr">
        <is>
          <t>선정</t>
        </is>
      </c>
      <c r="E46" s="377" t="inlineStr">
        <is>
          <t>공공조달수요발굴위원회 혁신제품 37개 선정 (한국판 뉴딜 시제품 지정트랙)</t>
        </is>
      </c>
      <c r="F46" s="378" t="inlineStr">
        <is>
          <t>반기보고서 연혁 + 인증현황 No.7</t>
        </is>
      </c>
    </row>
    <row r="47">
      <c r="C47" s="376" t="inlineStr">
        <is>
          <t>2022.10</t>
        </is>
      </c>
      <c r="D47" s="377" t="inlineStr">
        <is>
          <t>선정</t>
        </is>
      </c>
      <c r="E47" s="377" t="inlineStr">
        <is>
          <t>국가연구개발 우수성과 100선 (기계소재 분야, 과학기술정보통신부)</t>
        </is>
      </c>
      <c r="F47" s="378" t="inlineStr">
        <is>
          <t>반기보고서 연혁</t>
        </is>
      </c>
    </row>
    <row r="48">
      <c r="C48" s="376" t="inlineStr">
        <is>
          <t>2023.02</t>
        </is>
      </c>
      <c r="D48" s="377" t="inlineStr">
        <is>
          <t>선정</t>
        </is>
      </c>
      <c r="E48" s="377" t="inlineStr">
        <is>
          <t>산업통상자원부 기계·장비·로봇 분야 R&amp;D 우수성과</t>
        </is>
      </c>
      <c r="F48" s="378" t="inlineStr">
        <is>
          <t>반기보고서 연혁</t>
        </is>
      </c>
    </row>
    <row r="49">
      <c r="C49" s="376" t="inlineStr">
        <is>
          <t>2023.12</t>
        </is>
      </c>
      <c r="D49" s="377" t="inlineStr">
        <is>
          <t>선정</t>
        </is>
      </c>
      <c r="E49" s="377" t="inlineStr">
        <is>
          <t>산업통상자원부 산업기술 대표 성과 10선 (워크온슈트)</t>
        </is>
      </c>
      <c r="F49" s="378" t="inlineStr">
        <is>
          <t>반기보고서 연혁</t>
        </is>
      </c>
    </row>
    <row r="50">
      <c r="C50" s="376" t="inlineStr">
        <is>
          <t>2024.06</t>
        </is>
      </c>
      <c r="D50" s="377" t="inlineStr">
        <is>
          <t>수상</t>
        </is>
      </c>
      <c r="E50" s="377" t="inlineStr">
        <is>
          <t>angel GEAR 독일 2024 레드닷 디자인 어워드 디자인 부문</t>
        </is>
      </c>
      <c r="F50" s="378" t="inlineStr">
        <is>
          <t>반기보고서 연혁</t>
        </is>
      </c>
    </row>
    <row r="51">
      <c r="C51" s="376" t="inlineStr">
        <is>
          <t>2024.07</t>
        </is>
      </c>
      <c r="D51" s="377" t="inlineStr">
        <is>
          <t>논문</t>
        </is>
      </c>
      <c r="E51" s="377" t="inlineStr">
        <is>
          <t>JAMA Network Open 게재 — 뇌성마비 아동 90명, 5개 의료기관 (2021.09~2023.03)</t>
        </is>
      </c>
      <c r="F51" s="378" t="inlineStr">
        <is>
          <t>반기보고서 연혁 + 사업의 내용</t>
        </is>
      </c>
    </row>
    <row r="52">
      <c r="C52" s="376" t="inlineStr">
        <is>
          <t>2024.10</t>
        </is>
      </c>
      <c r="D52" s="377" t="inlineStr">
        <is>
          <t>수상</t>
        </is>
      </c>
      <c r="E52" s="377" t="inlineStr">
        <is>
          <t>제3회 사이배슬론 전동형 외골격 금메달 (2회 연속)</t>
        </is>
      </c>
      <c r="F52" s="378" t="inlineStr">
        <is>
          <t>반기보고서 연혁</t>
        </is>
      </c>
    </row>
    <row r="53">
      <c r="C53" s="376" t="inlineStr">
        <is>
          <t>2025</t>
        </is>
      </c>
      <c r="D53" s="377" t="inlineStr">
        <is>
          <t>논문</t>
        </is>
      </c>
      <c r="E53" s="377" t="inlineStr">
        <is>
          <t>Stroke (IF 8.9) 게재 — 급성기 뇌졸중 160명 다기관 RCT (삼성서울병원·UiTM 등 6개 기관)</t>
        </is>
      </c>
      <c r="F53" s="378" t="inlineStr">
        <is>
          <t>반기보고서 연구개발활동</t>
        </is>
      </c>
    </row>
    <row r="54">
      <c r="C54" s="376" t="inlineStr">
        <is>
          <t>2025.12</t>
        </is>
      </c>
      <c r="D54" s="377" t="inlineStr">
        <is>
          <t>수상</t>
        </is>
      </c>
      <c r="E54" s="377" t="inlineStr">
        <is>
          <t>2025 범부처 의료기기 R&amp;D 어워즈 한국연구재단 이사장상</t>
        </is>
      </c>
      <c r="F54" s="378" t="inlineStr">
        <is>
          <t>반기보고서 연혁 (본문은 '전문기관장 표창'으로 표기)</t>
        </is>
      </c>
    </row>
    <row r="55">
      <c r="C55" s="376" t="inlineStr">
        <is>
          <t>2026.03</t>
        </is>
      </c>
      <c r="D55" s="377" t="inlineStr">
        <is>
          <t>선정</t>
        </is>
      </c>
      <c r="E55" s="377" t="inlineStr">
        <is>
          <t>파이낸셜타임즈 아시아태평양지역 고성장 기업 500</t>
        </is>
      </c>
      <c r="F55" s="378" t="inlineStr">
        <is>
          <t>반기보고서 연혁</t>
        </is>
      </c>
    </row>
    <row r="56">
      <c r="C56" s="376" t="inlineStr">
        <is>
          <t>2026.06</t>
        </is>
      </c>
      <c r="D56" s="377" t="inlineStr">
        <is>
          <t>국가과제</t>
        </is>
      </c>
      <c r="E56" s="377" t="inlineStr">
        <is>
          <t>범부처 '브레인 투 로봇' 개발 과제 주관기관 선정 (총사업비 235.5억원)</t>
        </is>
      </c>
      <c r="F56" s="378" t="inlineStr">
        <is>
          <t>반기보고서 연혁 + 주요경영사항 공시 (08번 시트)</t>
        </is>
      </c>
    </row>
    <row r="57">
      <c r="A57" s="381" t="inlineStr">
        <is>
          <t>■ 2024.07 JAMA 논문은 2026.07 건강보험 급여 확대(18세 이하 뇌성마비)의 임상 근거로 인용됨 — 10번 시트 수가 체계 참조</t>
        </is>
      </c>
    </row>
    <row r="60">
      <c r="A60" s="372" t="inlineStr">
        <is>
          <t>x</t>
        </is>
      </c>
      <c r="B60" s="373" t="inlineStr">
        <is>
          <t>지식재산권</t>
        </is>
      </c>
    </row>
    <row r="61">
      <c r="C61" s="375" t="inlineStr">
        <is>
          <t>구분</t>
        </is>
      </c>
      <c r="D61" s="375" t="inlineStr">
        <is>
          <t>Unit</t>
        </is>
      </c>
      <c r="E61" s="375" t="inlineStr">
        <is>
          <t>수치</t>
        </is>
      </c>
      <c r="F61" s="375" t="inlineStr">
        <is>
          <t>근거</t>
        </is>
      </c>
    </row>
    <row r="62">
      <c r="C62" s="376" t="inlineStr">
        <is>
          <t>특허 출원</t>
        </is>
      </c>
      <c r="D62" s="377" t="inlineStr">
        <is>
          <t>건</t>
        </is>
      </c>
      <c r="E62" s="377" t="n">
        <v>75</v>
      </c>
      <c r="F62" s="378" t="inlineStr">
        <is>
          <t>한국IR협의회(2024.09.26) — 2024년 기준 (2차, 최신화 필요)</t>
        </is>
      </c>
    </row>
    <row r="63">
      <c r="C63" s="376" t="inlineStr">
        <is>
          <t>임상 케이스 논문</t>
        </is>
      </c>
      <c r="D63" s="377" t="inlineStr">
        <is>
          <t>편</t>
        </is>
      </c>
      <c r="E63" s="377" t="n">
        <v>10</v>
      </c>
      <c r="F63" s="378" t="inlineStr">
        <is>
          <t>한국IR협의회(2024.09.26) (2차)</t>
        </is>
      </c>
    </row>
    <row r="64">
      <c r="A64" s="379" t="inlineStr">
        <is>
          <t>핵심특허: 보행 의도 파악(10-1317354) / 정밀 힘 제어(10-1477401) / 보행 주기별 제어(10-2162485) — 한국IR협의회(2024.09.26)</t>
        </is>
      </c>
    </row>
    <row r="66">
      <c r="A66" s="380" t="inlineStr">
        <is>
          <t>■ 출처 표기 원칙: '반기보고서 ○○' = 1차 공시 / '(2차)' = 증권사·기관 리포트로 IM 인용 전 원문 확인 필요</t>
        </is>
      </c>
    </row>
  </sheetData>
  <pageMargins left="0.75" right="0.75" top="1" bottom="1" header="0.5" footer="0.5"/>
</worksheet>
</file>

<file path=xl/worksheets/sheet11.xml><?xml version="1.0" encoding="utf-8"?>
<worksheet xmlns="http://schemas.openxmlformats.org/spreadsheetml/2006/main">
  <sheetPr>
    <tabColor rgb="FF002060"/>
    <outlinePr summaryBelow="1" summaryRight="1"/>
    <pageSetUpPr/>
  </sheetPr>
  <dimension ref="B2:G89"/>
  <sheetViews>
    <sheetView showGridLines="0" topLeftCell="A57" workbookViewId="0">
      <selection activeCell="B82" sqref="B82:B84"/>
    </sheetView>
  </sheetViews>
  <sheetFormatPr baseColWidth="8" defaultRowHeight="16.5"/>
  <cols>
    <col width="5.75" bestFit="1" customWidth="1" style="276" min="2" max="2"/>
    <col width="57.75" bestFit="1" customWidth="1" style="276" min="3" max="3"/>
    <col width="13" bestFit="1" customWidth="1" style="276" min="4" max="4"/>
    <col width="12.875" bestFit="1" customWidth="1" style="276" min="5" max="5"/>
    <col width="11" bestFit="1" customWidth="1" style="276" min="6" max="7"/>
  </cols>
  <sheetData>
    <row r="2">
      <c r="B2" s="164" t="inlineStr">
        <is>
          <t>바. 주요 인증 내역</t>
        </is>
      </c>
    </row>
    <row r="3">
      <c r="B3" s="165" t="n"/>
    </row>
    <row r="4">
      <c r="B4" s="171" t="inlineStr">
        <is>
          <t>반기보고서 기준일 현재 당사의 사업과 관련한 제품 및 시스템에 대한 인허가 인증 내역은 다음과 같습니다.</t>
        </is>
      </c>
    </row>
    <row r="5">
      <c r="B5" s="166" t="n"/>
    </row>
    <row r="6">
      <c r="B6" s="382" t="inlineStr">
        <is>
          <t>번호</t>
        </is>
      </c>
      <c r="C6" s="383" t="inlineStr">
        <is>
          <t>내용</t>
        </is>
      </c>
      <c r="D6" s="308" t="inlineStr">
        <is>
          <t>인증일/</t>
        </is>
      </c>
      <c r="E6" s="383" t="inlineStr">
        <is>
          <t>적용 제품군</t>
        </is>
      </c>
      <c r="F6" s="383" t="inlineStr">
        <is>
          <t>출원국</t>
        </is>
      </c>
      <c r="G6" s="384" t="inlineStr">
        <is>
          <t>비고</t>
        </is>
      </c>
    </row>
    <row r="7">
      <c r="B7" s="355" t="n"/>
      <c r="C7" s="359" t="n"/>
      <c r="D7" s="309" t="inlineStr">
        <is>
          <t>인증기간</t>
        </is>
      </c>
      <c r="E7" s="359" t="n"/>
      <c r="F7" s="359" t="n"/>
      <c r="G7" s="385" t="n"/>
    </row>
    <row r="8">
      <c r="B8" s="386" t="n">
        <v>1</v>
      </c>
      <c r="C8" s="302" t="inlineStr">
        <is>
          <t>의료기기 제조 및 품질관리 기준 적합인정서</t>
        </is>
      </c>
      <c r="D8" s="302" t="inlineStr">
        <is>
          <t>2025.06.26</t>
        </is>
      </c>
      <c r="E8" s="75" t="inlineStr">
        <is>
          <t>-</t>
        </is>
      </c>
      <c r="F8" s="75" t="inlineStr">
        <is>
          <t>대한민국</t>
        </is>
      </c>
      <c r="G8" s="387" t="inlineStr">
        <is>
          <t>시스템인증</t>
        </is>
      </c>
    </row>
    <row r="9">
      <c r="B9" s="355" t="n"/>
      <c r="C9" s="303" t="inlineStr">
        <is>
          <t>(GMP인정서)</t>
        </is>
      </c>
      <c r="D9" s="303" t="inlineStr">
        <is>
          <t>~ 2028.06.25</t>
        </is>
      </c>
      <c r="E9" s="359" t="n"/>
      <c r="F9" s="359" t="n"/>
      <c r="G9" s="385" t="n"/>
    </row>
    <row r="10">
      <c r="B10" s="386" t="n">
        <v>2</v>
      </c>
      <c r="C10" s="302" t="inlineStr">
        <is>
          <t>ISO 13485:2016</t>
        </is>
      </c>
      <c r="D10" s="302" t="inlineStr">
        <is>
          <t>2025.08.30</t>
        </is>
      </c>
      <c r="E10" s="75" t="inlineStr">
        <is>
          <t>-</t>
        </is>
      </c>
      <c r="F10" s="75" t="inlineStr">
        <is>
          <t>대한민국</t>
        </is>
      </c>
      <c r="G10" s="387" t="inlineStr">
        <is>
          <t>시스템인증</t>
        </is>
      </c>
    </row>
    <row r="11">
      <c r="B11" s="355" t="n"/>
      <c r="C11" s="303" t="inlineStr">
        <is>
          <t xml:space="preserve"> (의료기기 품질경영시스템)</t>
        </is>
      </c>
      <c r="D11" s="303" t="inlineStr">
        <is>
          <t>~ 2028.08.29</t>
        </is>
      </c>
      <c r="E11" s="359" t="n"/>
      <c r="F11" s="359" t="n"/>
      <c r="G11" s="385" t="n"/>
    </row>
    <row r="12">
      <c r="B12" s="386" t="n">
        <v>3</v>
      </c>
      <c r="C12" s="302" t="inlineStr">
        <is>
          <t>ISO 9001:2015</t>
        </is>
      </c>
      <c r="D12" s="302" t="inlineStr">
        <is>
          <t>2025.08.23</t>
        </is>
      </c>
      <c r="E12" s="75" t="inlineStr">
        <is>
          <t>-</t>
        </is>
      </c>
      <c r="F12" s="75" t="inlineStr">
        <is>
          <t>대한민국</t>
        </is>
      </c>
      <c r="G12" s="387" t="inlineStr">
        <is>
          <t>시스템인증</t>
        </is>
      </c>
    </row>
    <row r="13">
      <c r="B13" s="355" t="n"/>
      <c r="C13" s="303" t="inlineStr">
        <is>
          <t>재활의료기기(재활치료용 로봇 및 부품)의 설계, 개발 및 제조</t>
        </is>
      </c>
      <c r="D13" s="303" t="inlineStr">
        <is>
          <t>~ 2028.08.22</t>
        </is>
      </c>
      <c r="E13" s="359" t="n"/>
      <c r="F13" s="359" t="n"/>
      <c r="G13" s="385" t="n"/>
    </row>
    <row r="14">
      <c r="B14" s="386" t="n">
        <v>4</v>
      </c>
      <c r="C14" s="302" t="inlineStr">
        <is>
          <t>의료기기 제조 인증서</t>
        </is>
      </c>
      <c r="D14" s="302" t="inlineStr">
        <is>
          <t>2021.03.02</t>
        </is>
      </c>
      <c r="E14" s="75" t="inlineStr">
        <is>
          <t>MEDI 제품군</t>
        </is>
      </c>
      <c r="F14" s="75" t="inlineStr">
        <is>
          <t>대한민국</t>
        </is>
      </c>
      <c r="G14" s="387" t="inlineStr">
        <is>
          <t>제품인증</t>
        </is>
      </c>
    </row>
    <row r="15">
      <c r="B15" s="350" t="n"/>
      <c r="C15" s="313" t="inlineStr">
        <is>
          <t>전동식 정형용 운동장치(2등급)</t>
        </is>
      </c>
      <c r="D15" s="313" t="inlineStr">
        <is>
          <t>~ 2031.03.01</t>
        </is>
      </c>
      <c r="E15" s="388" t="n"/>
      <c r="F15" s="388" t="n"/>
      <c r="G15" s="389" t="n"/>
    </row>
    <row r="16">
      <c r="B16" s="355" t="n"/>
      <c r="C16" s="303" t="inlineStr">
        <is>
          <t>ANGEL LEGS M20 (M20-A-C2 외 3건)</t>
        </is>
      </c>
      <c r="D16" s="168" t="n"/>
      <c r="E16" s="359" t="n"/>
      <c r="F16" s="359" t="n"/>
      <c r="G16" s="385" t="n"/>
    </row>
    <row r="17">
      <c r="B17" s="386" t="n">
        <v>5</v>
      </c>
      <c r="C17" s="302" t="inlineStr">
        <is>
          <t>의료기기 제조 허가증</t>
        </is>
      </c>
      <c r="D17" s="302" t="inlineStr">
        <is>
          <t>2022.12.14</t>
        </is>
      </c>
      <c r="E17" s="75" t="inlineStr">
        <is>
          <t>MEDI 제품군</t>
        </is>
      </c>
      <c r="F17" s="75" t="inlineStr">
        <is>
          <t>대한민국</t>
        </is>
      </c>
      <c r="G17" s="387" t="inlineStr">
        <is>
          <t>제품인증</t>
        </is>
      </c>
    </row>
    <row r="18">
      <c r="B18" s="350" t="n"/>
      <c r="C18" s="313" t="inlineStr">
        <is>
          <t>로봇보조 정형용 운동장치(3등급)</t>
        </is>
      </c>
      <c r="D18" s="313" t="inlineStr">
        <is>
          <t>~ 2027.12.13</t>
        </is>
      </c>
      <c r="E18" s="388" t="n"/>
      <c r="F18" s="388" t="n"/>
      <c r="G18" s="389" t="n"/>
    </row>
    <row r="19">
      <c r="B19" s="355" t="n"/>
      <c r="C19" s="303" t="inlineStr">
        <is>
          <t>ANGEL LEGS M20 (M20-A-C3 외 1건)</t>
        </is>
      </c>
      <c r="D19" s="168" t="n"/>
      <c r="E19" s="359" t="n"/>
      <c r="F19" s="359" t="n"/>
      <c r="G19" s="385" t="n"/>
    </row>
    <row r="20">
      <c r="B20" s="386" t="n">
        <v>6</v>
      </c>
      <c r="C20" s="302" t="inlineStr">
        <is>
          <t>의료기기 제조 신고증</t>
        </is>
      </c>
      <c r="D20" s="302" t="inlineStr">
        <is>
          <t>2022.02.18</t>
        </is>
      </c>
      <c r="E20" s="75" t="inlineStr">
        <is>
          <t>MEDI 제품군</t>
        </is>
      </c>
      <c r="F20" s="75" t="inlineStr">
        <is>
          <t>대한민국</t>
        </is>
      </c>
      <c r="G20" s="387" t="inlineStr">
        <is>
          <t>제품인증</t>
        </is>
      </c>
    </row>
    <row r="21">
      <c r="B21" s="350" t="n"/>
      <c r="C21" s="313" t="inlineStr">
        <is>
          <t xml:space="preserve"> 수동식 정형용 운동장치(1등급)</t>
        </is>
      </c>
      <c r="D21" s="313" t="inlineStr">
        <is>
          <t>~ 2027.02.17</t>
        </is>
      </c>
      <c r="E21" s="388" t="n"/>
      <c r="F21" s="388" t="n"/>
      <c r="G21" s="389" t="n"/>
    </row>
    <row r="22">
      <c r="B22" s="355" t="n"/>
      <c r="C22" s="303" t="inlineStr">
        <is>
          <t>수동식탈부하보행훈련기 (MW10 외 1건)</t>
        </is>
      </c>
      <c r="D22" s="168" t="n"/>
      <c r="E22" s="359" t="n"/>
      <c r="F22" s="359" t="n"/>
      <c r="G22" s="385" t="n"/>
    </row>
    <row r="23">
      <c r="B23" s="386" t="n">
        <v>7</v>
      </c>
      <c r="C23" s="302" t="inlineStr">
        <is>
          <t>혁신제품 지정 인증서</t>
        </is>
      </c>
      <c r="D23" s="302" t="inlineStr">
        <is>
          <t>2021.09.24</t>
        </is>
      </c>
      <c r="E23" s="75" t="inlineStr">
        <is>
          <t>MEDI 제품군</t>
        </is>
      </c>
      <c r="F23" s="75" t="inlineStr">
        <is>
          <t>대한민국</t>
        </is>
      </c>
      <c r="G23" s="387" t="inlineStr">
        <is>
          <t xml:space="preserve">제품인증 </t>
        </is>
      </c>
    </row>
    <row r="24">
      <c r="B24" s="355" t="n"/>
      <c r="C24" s="303" t="inlineStr">
        <is>
          <t>(ANGEL LEGS M20-A, ANGEL LEGS M20-B)</t>
        </is>
      </c>
      <c r="D24" s="303" t="inlineStr">
        <is>
          <t>~2027.09.23</t>
        </is>
      </c>
      <c r="E24" s="359" t="n"/>
      <c r="F24" s="359" t="n"/>
      <c r="G24" s="385" t="n"/>
    </row>
    <row r="25">
      <c r="B25" s="386" t="n">
        <v>8</v>
      </c>
      <c r="C25" s="302" t="inlineStr">
        <is>
          <t>방송통신기자재등의 적합등록 (KC인증)</t>
        </is>
      </c>
      <c r="D25" s="75" t="inlineStr">
        <is>
          <t>2020.08.27</t>
        </is>
      </c>
      <c r="E25" s="75" t="inlineStr">
        <is>
          <t>MEDI 제품군</t>
        </is>
      </c>
      <c r="F25" s="75" t="inlineStr">
        <is>
          <t>대한민국</t>
        </is>
      </c>
      <c r="G25" s="387" t="inlineStr">
        <is>
          <t>제품인증</t>
        </is>
      </c>
    </row>
    <row r="26">
      <c r="B26" s="355" t="n"/>
      <c r="C26" s="303" t="inlineStr">
        <is>
          <t>CHARGING DOCK (M20 DOCK)</t>
        </is>
      </c>
      <c r="D26" s="359" t="n"/>
      <c r="E26" s="359" t="n"/>
      <c r="F26" s="359" t="n"/>
      <c r="G26" s="385" t="n"/>
    </row>
    <row r="27">
      <c r="B27" s="386" t="n">
        <v>9</v>
      </c>
      <c r="C27" s="302" t="inlineStr">
        <is>
          <t>Declaration of Conformity (MD 2006/42/EC)</t>
        </is>
      </c>
      <c r="D27" s="75" t="inlineStr">
        <is>
          <t>2023.04.03</t>
        </is>
      </c>
      <c r="E27" s="75" t="inlineStr">
        <is>
          <t>GEAR 제품군</t>
        </is>
      </c>
      <c r="F27" s="75" t="inlineStr">
        <is>
          <t>대한민국</t>
        </is>
      </c>
      <c r="G27" s="387" t="inlineStr">
        <is>
          <t>제품인증</t>
        </is>
      </c>
    </row>
    <row r="28">
      <c r="B28" s="355" t="n"/>
      <c r="C28" s="303" t="inlineStr">
        <is>
          <t>Wearable robot for lower-back support (Angel X)</t>
        </is>
      </c>
      <c r="D28" s="359" t="n"/>
      <c r="E28" s="359" t="n"/>
      <c r="F28" s="359" t="n"/>
      <c r="G28" s="385" t="n"/>
    </row>
    <row r="29">
      <c r="B29" s="386" t="n">
        <v>10</v>
      </c>
      <c r="C29" s="302" t="inlineStr">
        <is>
          <t>K마크 인증서(성능)</t>
        </is>
      </c>
      <c r="D29" s="302" t="inlineStr">
        <is>
          <t>2023.08.01</t>
        </is>
      </c>
      <c r="E29" s="75" t="inlineStr">
        <is>
          <t>GEAR 제품군</t>
        </is>
      </c>
      <c r="F29" s="75" t="inlineStr">
        <is>
          <t>대한민국</t>
        </is>
      </c>
      <c r="G29" s="387" t="inlineStr">
        <is>
          <t>제품인증</t>
        </is>
      </c>
    </row>
    <row r="30">
      <c r="B30" s="350" t="n"/>
      <c r="C30" s="313" t="inlineStr">
        <is>
          <t>허리 하중 지지를 위한 작업자용 근력 보조기</t>
        </is>
      </c>
      <c r="D30" s="313" t="inlineStr">
        <is>
          <t>~2026.07.31</t>
        </is>
      </c>
      <c r="E30" s="388" t="n"/>
      <c r="F30" s="388" t="n"/>
      <c r="G30" s="389" t="n"/>
    </row>
    <row r="31">
      <c r="B31" s="355" t="n"/>
      <c r="C31" s="303" t="inlineStr">
        <is>
          <t>(AX-L20-1BW 외 3건)</t>
        </is>
      </c>
      <c r="D31" s="169" t="n"/>
      <c r="E31" s="359" t="n"/>
      <c r="F31" s="359" t="n"/>
      <c r="G31" s="385" t="n"/>
    </row>
    <row r="32">
      <c r="B32" s="386" t="n">
        <v>11</v>
      </c>
      <c r="C32" s="302" t="inlineStr">
        <is>
          <t>방송통신기자재등의 적합등록 (KC인증)</t>
        </is>
      </c>
      <c r="D32" s="75" t="inlineStr">
        <is>
          <t>2024.02.02</t>
        </is>
      </c>
      <c r="E32" s="75" t="inlineStr">
        <is>
          <t>GEAR 제품군</t>
        </is>
      </c>
      <c r="F32" s="75" t="inlineStr">
        <is>
          <t>대한민국</t>
        </is>
      </c>
      <c r="G32" s="387" t="inlineStr">
        <is>
          <t>제품인증</t>
        </is>
      </c>
    </row>
    <row r="33">
      <c r="B33" s="355" t="n"/>
      <c r="C33" s="303" t="inlineStr">
        <is>
          <t>Motion Analyzer (AA-MA10)</t>
        </is>
      </c>
      <c r="D33" s="359" t="n"/>
      <c r="E33" s="359" t="n"/>
      <c r="F33" s="359" t="n"/>
      <c r="G33" s="385" t="n"/>
    </row>
    <row r="34">
      <c r="B34" s="386" t="n">
        <v>12</v>
      </c>
      <c r="C34" s="302" t="inlineStr">
        <is>
          <t>의료기기 제조 신고증</t>
        </is>
      </c>
      <c r="D34" s="302" t="inlineStr">
        <is>
          <t>2024.04.04</t>
        </is>
      </c>
      <c r="E34" s="75" t="inlineStr">
        <is>
          <t>GEAR 제품군</t>
        </is>
      </c>
      <c r="F34" s="75" t="inlineStr">
        <is>
          <t>대한민국</t>
        </is>
      </c>
      <c r="G34" s="387" t="inlineStr">
        <is>
          <t>제품인증</t>
        </is>
      </c>
    </row>
    <row r="35">
      <c r="B35" s="350" t="n"/>
      <c r="C35" s="313" t="inlineStr">
        <is>
          <t>팽창성 부목(1등급)</t>
        </is>
      </c>
      <c r="D35" s="313" t="inlineStr">
        <is>
          <t>~2029.04.03</t>
        </is>
      </c>
      <c r="E35" s="388" t="n"/>
      <c r="F35" s="388" t="n"/>
      <c r="G35" s="389" t="n"/>
    </row>
    <row r="36">
      <c r="B36" s="355" t="n"/>
      <c r="C36" s="303" t="inlineStr">
        <is>
          <t>angel GEAR soft W10 (AGS-W10-00LL 외 7건)</t>
        </is>
      </c>
      <c r="D36" s="168" t="n"/>
      <c r="E36" s="359" t="n"/>
      <c r="F36" s="359" t="n"/>
      <c r="G36" s="385" t="n"/>
    </row>
    <row r="37">
      <c r="B37" s="386" t="n">
        <v>13</v>
      </c>
      <c r="C37" s="302" t="inlineStr">
        <is>
          <t>의료기기 제조 신고증</t>
        </is>
      </c>
      <c r="D37" s="302" t="inlineStr">
        <is>
          <t>2024.04.04</t>
        </is>
      </c>
      <c r="E37" s="75" t="inlineStr">
        <is>
          <t>GEAR 제품군</t>
        </is>
      </c>
      <c r="F37" s="75" t="inlineStr">
        <is>
          <t>대한민국</t>
        </is>
      </c>
      <c r="G37" s="387" t="inlineStr">
        <is>
          <t>제품인증</t>
        </is>
      </c>
    </row>
    <row r="38">
      <c r="B38" s="350" t="n"/>
      <c r="C38" s="313" t="inlineStr">
        <is>
          <t>팽창성 부목(1등급)</t>
        </is>
      </c>
      <c r="D38" s="313" t="inlineStr">
        <is>
          <t>~ 2029.04.03</t>
        </is>
      </c>
      <c r="E38" s="388" t="n"/>
      <c r="F38" s="388" t="n"/>
      <c r="G38" s="389" t="n"/>
    </row>
    <row r="39">
      <c r="B39" s="355" t="n"/>
      <c r="C39" s="303" t="inlineStr">
        <is>
          <t>angel GEAR soft W11 (AGS-W11-00LL 외 7건)</t>
        </is>
      </c>
      <c r="D39" s="168" t="n"/>
      <c r="E39" s="359" t="n"/>
      <c r="F39" s="359" t="n"/>
      <c r="G39" s="385" t="n"/>
    </row>
    <row r="40">
      <c r="B40" s="386" t="n">
        <v>14</v>
      </c>
      <c r="C40" s="302" t="inlineStr">
        <is>
          <t>방송통신기자재등의 적합등록 (KC인증)</t>
        </is>
      </c>
      <c r="D40" s="75" t="inlineStr">
        <is>
          <t>2019.02.01</t>
        </is>
      </c>
      <c r="E40" s="75" t="inlineStr">
        <is>
          <t>SUIT 제품군</t>
        </is>
      </c>
      <c r="F40" s="75" t="inlineStr">
        <is>
          <t>대한민국</t>
        </is>
      </c>
      <c r="G40" s="387" t="inlineStr">
        <is>
          <t>제품인증</t>
        </is>
      </c>
    </row>
    <row r="41">
      <c r="B41" s="355" t="n"/>
      <c r="C41" s="303" t="inlineStr">
        <is>
          <t>엔젤앵클</t>
        </is>
      </c>
      <c r="D41" s="359" t="n"/>
      <c r="E41" s="359" t="n"/>
      <c r="F41" s="359" t="n"/>
      <c r="G41" s="385" t="n"/>
    </row>
    <row r="42">
      <c r="B42" s="386" t="n">
        <v>15</v>
      </c>
      <c r="C42" s="302" t="inlineStr">
        <is>
          <t>방송통신기자재등의 적합등록 (KC인증)</t>
        </is>
      </c>
      <c r="D42" s="75" t="inlineStr">
        <is>
          <t>2019.02.01</t>
        </is>
      </c>
      <c r="E42" s="75" t="inlineStr">
        <is>
          <t>SUIT 제품군</t>
        </is>
      </c>
      <c r="F42" s="75" t="inlineStr">
        <is>
          <t>대한민국</t>
        </is>
      </c>
      <c r="G42" s="387" t="inlineStr">
        <is>
          <t>제품인증</t>
        </is>
      </c>
    </row>
    <row r="43">
      <c r="B43" s="355" t="n"/>
      <c r="C43" s="303" t="inlineStr">
        <is>
          <t>엔젤조인트</t>
        </is>
      </c>
      <c r="D43" s="359" t="n"/>
      <c r="E43" s="359" t="n"/>
      <c r="F43" s="359" t="n"/>
      <c r="G43" s="385" t="n"/>
    </row>
    <row r="44">
      <c r="B44" s="386" t="n">
        <v>16</v>
      </c>
      <c r="C44" s="302" t="inlineStr">
        <is>
          <t>방송통신기자재등의 적합등록 (KC인증)</t>
        </is>
      </c>
      <c r="D44" s="75" t="inlineStr">
        <is>
          <t>2019.02.28</t>
        </is>
      </c>
      <c r="E44" s="75" t="inlineStr">
        <is>
          <t>SUIT 제품군</t>
        </is>
      </c>
      <c r="F44" s="75" t="inlineStr">
        <is>
          <t>대한민국</t>
        </is>
      </c>
      <c r="G44" s="387" t="inlineStr">
        <is>
          <t>제품인증</t>
        </is>
      </c>
    </row>
    <row r="45">
      <c r="B45" s="355" t="n"/>
      <c r="C45" s="303" t="inlineStr">
        <is>
          <t>엔젤팩</t>
        </is>
      </c>
      <c r="D45" s="359" t="n"/>
      <c r="E45" s="359" t="n"/>
      <c r="F45" s="359" t="n"/>
      <c r="G45" s="385" t="n"/>
    </row>
    <row r="46">
      <c r="B46" s="386" t="n">
        <v>17</v>
      </c>
      <c r="C46" s="302" t="inlineStr">
        <is>
          <t>방송통신기자재등의 적합등록 (KC인증)</t>
        </is>
      </c>
      <c r="D46" s="75" t="inlineStr">
        <is>
          <t>2019.05.24</t>
        </is>
      </c>
      <c r="E46" s="75" t="inlineStr">
        <is>
          <t>SUIT 제품군</t>
        </is>
      </c>
      <c r="F46" s="75" t="inlineStr">
        <is>
          <t>대한민국</t>
        </is>
      </c>
      <c r="G46" s="387" t="inlineStr">
        <is>
          <t>제품인증</t>
        </is>
      </c>
    </row>
    <row r="47">
      <c r="B47" s="355" t="n"/>
      <c r="C47" s="303" t="inlineStr">
        <is>
          <t>엔젤조인트M</t>
        </is>
      </c>
      <c r="D47" s="359" t="n"/>
      <c r="E47" s="359" t="n"/>
      <c r="F47" s="359" t="n"/>
      <c r="G47" s="385" t="n"/>
    </row>
    <row r="48">
      <c r="B48" s="386" t="n">
        <v>18</v>
      </c>
      <c r="C48" s="302" t="inlineStr">
        <is>
          <t>방송통신기자재등의 적합등록 (KC인증)</t>
        </is>
      </c>
      <c r="D48" s="75" t="inlineStr">
        <is>
          <t>2019.05.24</t>
        </is>
      </c>
      <c r="E48" s="75" t="inlineStr">
        <is>
          <t>SUIT 제품군</t>
        </is>
      </c>
      <c r="F48" s="75" t="inlineStr">
        <is>
          <t>대한민국</t>
        </is>
      </c>
      <c r="G48" s="387" t="inlineStr">
        <is>
          <t>제품인증</t>
        </is>
      </c>
    </row>
    <row r="49">
      <c r="B49" s="355" t="n"/>
      <c r="C49" s="303" t="inlineStr">
        <is>
          <t>엔젤팩M</t>
        </is>
      </c>
      <c r="D49" s="359" t="n"/>
      <c r="E49" s="359" t="n"/>
      <c r="F49" s="359" t="n"/>
      <c r="G49" s="385" t="n"/>
    </row>
    <row r="50">
      <c r="B50" s="386" t="n">
        <v>19</v>
      </c>
      <c r="C50" s="302" t="inlineStr">
        <is>
          <t>방송통신기자재등의 적합등록 (KC인증)</t>
        </is>
      </c>
      <c r="D50" s="75" t="inlineStr">
        <is>
          <t>2020.01.06</t>
        </is>
      </c>
      <c r="E50" s="75" t="inlineStr">
        <is>
          <t>SUIT 제품군</t>
        </is>
      </c>
      <c r="F50" s="75" t="inlineStr">
        <is>
          <t>대한민국</t>
        </is>
      </c>
      <c r="G50" s="387" t="inlineStr">
        <is>
          <t>제품인증</t>
        </is>
      </c>
    </row>
    <row r="51">
      <c r="B51" s="355" t="n"/>
      <c r="C51" s="303" t="inlineStr">
        <is>
          <t>엔젤팩B</t>
        </is>
      </c>
      <c r="D51" s="359" t="n"/>
      <c r="E51" s="359" t="n"/>
      <c r="F51" s="359" t="n"/>
      <c r="G51" s="385" t="n"/>
    </row>
    <row r="52">
      <c r="B52" s="386" t="n">
        <v>20</v>
      </c>
      <c r="C52" s="302" t="inlineStr">
        <is>
          <t>의료기기 제조 인증서</t>
        </is>
      </c>
      <c r="D52" s="302" t="inlineStr">
        <is>
          <t>2023.08.29</t>
        </is>
      </c>
      <c r="E52" s="75" t="inlineStr">
        <is>
          <t>SUIT 제품군</t>
        </is>
      </c>
      <c r="F52" s="75" t="inlineStr">
        <is>
          <t>대한민국</t>
        </is>
      </c>
      <c r="G52" s="387" t="inlineStr">
        <is>
          <t>제품인증</t>
        </is>
      </c>
    </row>
    <row r="53">
      <c r="B53" s="350" t="n"/>
      <c r="C53" s="313" t="inlineStr">
        <is>
          <t>전동식 정형용 운동장치(2등급)</t>
        </is>
      </c>
      <c r="D53" s="313" t="inlineStr">
        <is>
          <t>~ 2028.08.28</t>
        </is>
      </c>
      <c r="E53" s="388" t="n"/>
      <c r="F53" s="388" t="n"/>
      <c r="G53" s="389" t="n"/>
    </row>
    <row r="54">
      <c r="B54" s="355" t="n"/>
      <c r="C54" s="303" t="inlineStr">
        <is>
          <t>ANGEL SUIT (ANGEL-SUIT-A10-L 외 5건)</t>
        </is>
      </c>
      <c r="D54" s="168" t="n"/>
      <c r="E54" s="359" t="n"/>
      <c r="F54" s="359" t="n"/>
      <c r="G54" s="385" t="n"/>
    </row>
    <row r="55">
      <c r="B55" s="386" t="n">
        <v>21</v>
      </c>
      <c r="C55" s="302" t="inlineStr">
        <is>
          <t>방송통신기자재등의 적합등록 (KC인증)</t>
        </is>
      </c>
      <c r="D55" s="75" t="inlineStr">
        <is>
          <t>2022.01.10</t>
        </is>
      </c>
      <c r="E55" s="75" t="inlineStr">
        <is>
          <t>SUIT 제품군</t>
        </is>
      </c>
      <c r="F55" s="75" t="inlineStr">
        <is>
          <t>대한민국</t>
        </is>
      </c>
      <c r="G55" s="387" t="inlineStr">
        <is>
          <t>제품인증</t>
        </is>
      </c>
    </row>
    <row r="56">
      <c r="B56" s="355" t="n"/>
      <c r="C56" s="303" t="inlineStr">
        <is>
          <t>ANGEL SUIT (ANGEL-SUIT-A10-R 외 1건)</t>
        </is>
      </c>
      <c r="D56" s="359" t="n"/>
      <c r="E56" s="359" t="n"/>
      <c r="F56" s="359" t="n"/>
      <c r="G56" s="385" t="n"/>
    </row>
    <row r="57">
      <c r="B57" s="386" t="n">
        <v>22</v>
      </c>
      <c r="C57" s="302" t="inlineStr">
        <is>
          <t>방송통신기자재등의 적합등록 (KC인증)</t>
        </is>
      </c>
      <c r="D57" s="75" t="inlineStr">
        <is>
          <t>2021.12.28</t>
        </is>
      </c>
      <c r="E57" s="75" t="inlineStr">
        <is>
          <t>SUIT 제품군</t>
        </is>
      </c>
      <c r="F57" s="75" t="inlineStr">
        <is>
          <t>대한민국</t>
        </is>
      </c>
      <c r="G57" s="387" t="inlineStr">
        <is>
          <t>제품인증</t>
        </is>
      </c>
    </row>
    <row r="58">
      <c r="B58" s="355" t="n"/>
      <c r="C58" s="303" t="inlineStr">
        <is>
          <t>CHARGING DOCK (ANGE-SUIT-DOCK)</t>
        </is>
      </c>
      <c r="D58" s="359" t="n"/>
      <c r="E58" s="359" t="n"/>
      <c r="F58" s="359" t="n"/>
      <c r="G58" s="385" t="n"/>
    </row>
    <row r="59">
      <c r="B59" s="386" t="n">
        <v>23</v>
      </c>
      <c r="C59" s="302" t="inlineStr">
        <is>
          <t>방송통신기자재등의 적합등록 (KC인증)</t>
        </is>
      </c>
      <c r="D59" s="75" t="inlineStr">
        <is>
          <t>2024.06.05</t>
        </is>
      </c>
      <c r="E59" s="75" t="inlineStr">
        <is>
          <t>SUIT 제품군</t>
        </is>
      </c>
      <c r="F59" s="75" t="inlineStr">
        <is>
          <t>대한민국</t>
        </is>
      </c>
      <c r="G59" s="387" t="inlineStr">
        <is>
          <t>제품인증</t>
        </is>
      </c>
    </row>
    <row r="60">
      <c r="B60" s="355" t="n"/>
      <c r="C60" s="303" t="inlineStr">
        <is>
          <t>angel SUIT H10 (AS-H10)</t>
        </is>
      </c>
      <c r="D60" s="359" t="n"/>
      <c r="E60" s="359" t="n"/>
      <c r="F60" s="359" t="n"/>
      <c r="G60" s="385" t="n"/>
    </row>
    <row r="61">
      <c r="B61" s="386" t="n">
        <v>24</v>
      </c>
      <c r="C61" s="302" t="inlineStr">
        <is>
          <t>방송통신기자재등의 적합등록 (KC인증)</t>
        </is>
      </c>
      <c r="D61" s="75" t="inlineStr">
        <is>
          <t>2024.06.05</t>
        </is>
      </c>
      <c r="E61" s="75" t="inlineStr">
        <is>
          <t>SUIT 제품군</t>
        </is>
      </c>
      <c r="F61" s="75" t="inlineStr">
        <is>
          <t>대한민국</t>
        </is>
      </c>
      <c r="G61" s="387" t="inlineStr">
        <is>
          <t>제품인증</t>
        </is>
      </c>
    </row>
    <row r="62">
      <c r="B62" s="355" t="n"/>
      <c r="C62" s="303" t="inlineStr">
        <is>
          <t>angel SUIT CS (AS-001)</t>
        </is>
      </c>
      <c r="D62" s="359" t="n"/>
      <c r="E62" s="359" t="n"/>
      <c r="F62" s="359" t="n"/>
      <c r="G62" s="385" t="n"/>
    </row>
    <row r="63">
      <c r="B63" s="386" t="n">
        <v>25</v>
      </c>
      <c r="C63" s="302" t="inlineStr">
        <is>
          <t>방송통신기자재등의 적합등록 (KC인증)</t>
        </is>
      </c>
      <c r="D63" s="75" t="inlineStr">
        <is>
          <t>2024.12.19</t>
        </is>
      </c>
      <c r="E63" s="75" t="inlineStr">
        <is>
          <t>SUIT 제품군</t>
        </is>
      </c>
      <c r="F63" s="75" t="inlineStr">
        <is>
          <t>대한민국</t>
        </is>
      </c>
      <c r="G63" s="387" t="inlineStr">
        <is>
          <t>제품인증</t>
        </is>
      </c>
    </row>
    <row r="64">
      <c r="B64" s="355" t="n"/>
      <c r="C64" s="303" t="inlineStr">
        <is>
          <t>angel SUIT K10 (AS-K10)</t>
        </is>
      </c>
      <c r="D64" s="359" t="n"/>
      <c r="E64" s="359" t="n"/>
      <c r="F64" s="359" t="n"/>
      <c r="G64" s="385" t="n"/>
    </row>
    <row r="65">
      <c r="B65" s="386" t="n">
        <v>26</v>
      </c>
      <c r="C65" s="302" t="inlineStr">
        <is>
          <t>의료기기 제조 인증서</t>
        </is>
      </c>
      <c r="D65" s="302" t="inlineStr">
        <is>
          <t>2025.02.03</t>
        </is>
      </c>
      <c r="E65" s="75" t="inlineStr">
        <is>
          <t>SUIT 제품군</t>
        </is>
      </c>
      <c r="F65" s="75" t="inlineStr">
        <is>
          <t>대한민국</t>
        </is>
      </c>
      <c r="G65" s="387" t="inlineStr">
        <is>
          <t>제품인증</t>
        </is>
      </c>
    </row>
    <row r="66">
      <c r="B66" s="350" t="n"/>
      <c r="C66" s="313" t="inlineStr">
        <is>
          <t>전동식 정형용 운동장치(2등급)</t>
        </is>
      </c>
      <c r="D66" s="313" t="inlineStr">
        <is>
          <t>~ 2030.02.02</t>
        </is>
      </c>
      <c r="E66" s="388" t="n"/>
      <c r="F66" s="388" t="n"/>
      <c r="G66" s="389" t="n"/>
    </row>
    <row r="67">
      <c r="B67" s="355" t="n"/>
      <c r="C67" s="303" t="inlineStr">
        <is>
          <t>ANGEL SUIT (AS-H10 외 6건)</t>
        </is>
      </c>
      <c r="D67" s="168" t="n"/>
      <c r="E67" s="359" t="n"/>
      <c r="F67" s="359" t="n"/>
      <c r="G67" s="385" t="n"/>
    </row>
    <row r="68">
      <c r="B68" s="386" t="n">
        <v>27</v>
      </c>
      <c r="C68" s="302" t="inlineStr">
        <is>
          <t>Q마크 인증서</t>
        </is>
      </c>
      <c r="D68" s="302" t="inlineStr">
        <is>
          <t>2025.03.25</t>
        </is>
      </c>
      <c r="E68" s="75" t="inlineStr">
        <is>
          <t>GEAR 제품군</t>
        </is>
      </c>
      <c r="F68" s="75" t="inlineStr">
        <is>
          <t>대한민국</t>
        </is>
      </c>
      <c r="G68" s="387" t="inlineStr">
        <is>
          <t>제품인증</t>
        </is>
      </c>
    </row>
    <row r="69">
      <c r="B69" s="350" t="n"/>
      <c r="C69" s="313" t="inlineStr">
        <is>
          <t>허리 하중 지지를 위한 작업자용 근력 보조기</t>
        </is>
      </c>
      <c r="D69" s="313" t="inlineStr">
        <is>
          <t>~ 2027.03.24</t>
        </is>
      </c>
      <c r="E69" s="388" t="n"/>
      <c r="F69" s="388" t="n"/>
      <c r="G69" s="389" t="n"/>
    </row>
    <row r="70">
      <c r="B70" s="355" t="n"/>
      <c r="C70" s="303" t="inlineStr">
        <is>
          <t>(AX-L20-S1 외 1건)</t>
        </is>
      </c>
      <c r="D70" s="169" t="n"/>
      <c r="E70" s="359" t="n"/>
      <c r="F70" s="359" t="n"/>
      <c r="G70" s="385" t="n"/>
    </row>
    <row r="71">
      <c r="B71" s="390" t="n">
        <v>28</v>
      </c>
      <c r="C71" s="318" t="inlineStr">
        <is>
          <t>태국 의료기기 인증서</t>
        </is>
      </c>
      <c r="D71" s="318" t="inlineStr">
        <is>
          <t>2025.06.26</t>
        </is>
      </c>
      <c r="E71" s="391" t="inlineStr">
        <is>
          <t>MEDI 제품군</t>
        </is>
      </c>
      <c r="F71" s="391" t="inlineStr">
        <is>
          <t>태국</t>
        </is>
      </c>
      <c r="G71" s="392" t="inlineStr">
        <is>
          <t>제품인증</t>
        </is>
      </c>
    </row>
    <row r="72">
      <c r="B72" s="350" t="n"/>
      <c r="C72" s="319" t="inlineStr">
        <is>
          <t>Active non-implantable devices for rehabilitation (Class 2)</t>
        </is>
      </c>
      <c r="D72" s="319" t="inlineStr">
        <is>
          <t>~ 2029.12.31</t>
        </is>
      </c>
      <c r="E72" s="388" t="n"/>
      <c r="F72" s="388" t="n"/>
      <c r="G72" s="389" t="n"/>
    </row>
    <row r="73">
      <c r="B73" s="355" t="n"/>
      <c r="C73" s="320" t="inlineStr">
        <is>
          <t>ANGEL LEGS MEDICAL (M20-B-C3)</t>
        </is>
      </c>
      <c r="D73" s="175" t="n"/>
      <c r="E73" s="359" t="n"/>
      <c r="F73" s="359" t="n"/>
      <c r="G73" s="385" t="n"/>
    </row>
    <row r="74">
      <c r="B74" s="390" t="n">
        <v>29</v>
      </c>
      <c r="C74" s="318" t="inlineStr">
        <is>
          <t>베트남 의료기기 인증서</t>
        </is>
      </c>
      <c r="D74" s="318" t="inlineStr">
        <is>
          <t>2025.07.07</t>
        </is>
      </c>
      <c r="E74" s="391" t="inlineStr">
        <is>
          <t>MEDI 제품군</t>
        </is>
      </c>
      <c r="F74" s="391" t="inlineStr">
        <is>
          <t>베트남</t>
        </is>
      </c>
      <c r="G74" s="392" t="inlineStr">
        <is>
          <t>제품인증</t>
        </is>
      </c>
    </row>
    <row r="75">
      <c r="B75" s="350" t="n"/>
      <c r="C75" s="319" t="inlineStr">
        <is>
          <t>Gait training and support robot System (Class B)</t>
        </is>
      </c>
      <c r="D75" s="319" t="inlineStr">
        <is>
          <t>~ 2030.07.07</t>
        </is>
      </c>
      <c r="E75" s="388" t="n"/>
      <c r="F75" s="388" t="n"/>
      <c r="G75" s="389" t="n"/>
    </row>
    <row r="76">
      <c r="B76" s="355" t="n"/>
      <c r="C76" s="320" t="inlineStr">
        <is>
          <t>ANGEL LEGS M20 (M20-B-C3 외 1건)</t>
        </is>
      </c>
      <c r="D76" s="175" t="n"/>
      <c r="E76" s="359" t="n"/>
      <c r="F76" s="359" t="n"/>
      <c r="G76" s="385" t="n"/>
    </row>
    <row r="77">
      <c r="B77" s="386" t="n">
        <v>30</v>
      </c>
      <c r="C77" s="302" t="inlineStr">
        <is>
          <t>방송통신기자재등의 적합등록 (KC인증)</t>
        </is>
      </c>
      <c r="D77" s="75" t="inlineStr">
        <is>
          <t>2025.11.19</t>
        </is>
      </c>
      <c r="E77" s="75" t="inlineStr">
        <is>
          <t>KIT 제품군</t>
        </is>
      </c>
      <c r="F77" s="75" t="inlineStr">
        <is>
          <t>대한민국</t>
        </is>
      </c>
      <c r="G77" s="387" t="inlineStr">
        <is>
          <t>제품인증</t>
        </is>
      </c>
    </row>
    <row r="78">
      <c r="B78" s="355" t="n"/>
      <c r="C78" s="303" t="inlineStr">
        <is>
          <t>angel KIT MD10 (KIT-MD10-A)</t>
        </is>
      </c>
      <c r="D78" s="359" t="n"/>
      <c r="E78" s="359" t="n"/>
      <c r="F78" s="359" t="n"/>
      <c r="G78" s="385" t="n"/>
    </row>
    <row r="79">
      <c r="B79" s="390" t="n">
        <v>31</v>
      </c>
      <c r="C79" s="318" t="inlineStr">
        <is>
          <t>말레이시아 의료기기 인증서</t>
        </is>
      </c>
      <c r="D79" s="318" t="inlineStr">
        <is>
          <t>2025.11.27</t>
        </is>
      </c>
      <c r="E79" s="391" t="inlineStr">
        <is>
          <t>MEDI 제품군</t>
        </is>
      </c>
      <c r="F79" s="391" t="inlineStr">
        <is>
          <t>말레이시아</t>
        </is>
      </c>
      <c r="G79" s="392" t="inlineStr">
        <is>
          <t>제품인증</t>
        </is>
      </c>
    </row>
    <row r="80">
      <c r="B80" s="350" t="n"/>
      <c r="C80" s="319" t="inlineStr">
        <is>
          <t>Wearable Walking Rehabilitation Robot (Class B)</t>
        </is>
      </c>
      <c r="D80" s="319" t="inlineStr">
        <is>
          <t>~ 2030.11.26</t>
        </is>
      </c>
      <c r="E80" s="388" t="n"/>
      <c r="F80" s="388" t="n"/>
      <c r="G80" s="389" t="n"/>
    </row>
    <row r="81">
      <c r="B81" s="355" t="n"/>
      <c r="C81" s="320" t="inlineStr">
        <is>
          <t>ANGEL LEGS M20 (M20-B-C3 외 1건)</t>
        </is>
      </c>
      <c r="D81" s="320" t="n"/>
      <c r="E81" s="359" t="n"/>
      <c r="F81" s="359" t="n"/>
      <c r="G81" s="385" t="n"/>
    </row>
    <row r="82">
      <c r="B82" s="386" t="n">
        <v>32</v>
      </c>
      <c r="C82" s="302" t="inlineStr">
        <is>
          <t>K마크 인증서(성능)</t>
        </is>
      </c>
      <c r="D82" s="302" t="inlineStr">
        <is>
          <t>2025.12.30</t>
        </is>
      </c>
      <c r="E82" s="75" t="inlineStr">
        <is>
          <t>SUIT 제품군</t>
        </is>
      </c>
      <c r="F82" s="75" t="inlineStr">
        <is>
          <t>대한민국</t>
        </is>
      </c>
      <c r="G82" s="387" t="inlineStr">
        <is>
          <t>제품인증</t>
        </is>
      </c>
    </row>
    <row r="83">
      <c r="B83" s="350" t="n"/>
      <c r="C83" s="313" t="inlineStr">
        <is>
          <t>보행보조를 위한 신체보조로봇</t>
        </is>
      </c>
      <c r="D83" s="313" t="inlineStr">
        <is>
          <t>~ 2028.07.31</t>
        </is>
      </c>
      <c r="E83" s="388" t="n"/>
      <c r="F83" s="388" t="n"/>
      <c r="G83" s="389" t="n"/>
    </row>
    <row r="84">
      <c r="B84" s="355" t="n"/>
      <c r="C84" s="303" t="inlineStr">
        <is>
          <t>AS-H10 외 1건</t>
        </is>
      </c>
      <c r="D84" s="168" t="n"/>
      <c r="E84" s="359" t="n"/>
      <c r="F84" s="359" t="n"/>
      <c r="G84" s="385" t="n"/>
    </row>
    <row r="85">
      <c r="B85" s="390" t="n">
        <v>33</v>
      </c>
      <c r="C85" s="318" t="inlineStr">
        <is>
          <t>말레이시아 의료기기 인증서</t>
        </is>
      </c>
      <c r="D85" s="318" t="inlineStr">
        <is>
          <t>2026.04.28</t>
        </is>
      </c>
      <c r="E85" s="391" t="inlineStr">
        <is>
          <t>SUIT 제품군</t>
        </is>
      </c>
      <c r="F85" s="391" t="inlineStr">
        <is>
          <t>말레이시아</t>
        </is>
      </c>
      <c r="G85" s="392" t="inlineStr">
        <is>
          <t>제품인증</t>
        </is>
      </c>
    </row>
    <row r="86">
      <c r="B86" s="350" t="n"/>
      <c r="C86" s="319" t="inlineStr">
        <is>
          <t>Powered lower extremity exoskeleton (Class B)</t>
        </is>
      </c>
      <c r="D86" s="319" t="inlineStr">
        <is>
          <t>~ 2031.04.27</t>
        </is>
      </c>
      <c r="E86" s="388" t="n"/>
      <c r="F86" s="388" t="n"/>
      <c r="G86" s="389" t="n"/>
    </row>
    <row r="87">
      <c r="B87" s="355" t="n"/>
      <c r="C87" s="320" t="inlineStr">
        <is>
          <t>ANGEL SUIT H10 (AS-H10-3BB 외 1건)</t>
        </is>
      </c>
      <c r="D87" s="320" t="n"/>
      <c r="E87" s="359" t="n"/>
      <c r="F87" s="359" t="n"/>
      <c r="G87" s="385" t="n"/>
    </row>
    <row r="88">
      <c r="B88" s="393" t="n">
        <v>34</v>
      </c>
      <c r="C88" s="302" t="inlineStr">
        <is>
          <t>방송통신기자재등의 적합등록 (KC인증)</t>
        </is>
      </c>
      <c r="D88" s="103" t="inlineStr">
        <is>
          <t>2026.06.03</t>
        </is>
      </c>
      <c r="E88" s="103" t="inlineStr">
        <is>
          <t>KIT 제품군</t>
        </is>
      </c>
      <c r="F88" s="103" t="inlineStr">
        <is>
          <t>대한민국</t>
        </is>
      </c>
      <c r="G88" s="394" t="inlineStr">
        <is>
          <t>제품인증</t>
        </is>
      </c>
    </row>
    <row r="89">
      <c r="B89" s="395" t="n"/>
      <c r="C89" s="325" t="inlineStr">
        <is>
          <t>PhAI-X1</t>
        </is>
      </c>
      <c r="D89" s="396" t="n"/>
      <c r="E89" s="396" t="n"/>
      <c r="F89" s="396" t="n"/>
      <c r="G89" s="397" t="n"/>
    </row>
  </sheetData>
  <mergeCells count="157">
    <mergeCell ref="F44:F45"/>
    <mergeCell ref="F17:F19"/>
    <mergeCell ref="E8:E9"/>
    <mergeCell ref="E48:E49"/>
    <mergeCell ref="B12:B13"/>
    <mergeCell ref="B34:B36"/>
    <mergeCell ref="G48:G49"/>
    <mergeCell ref="E88:E89"/>
    <mergeCell ref="G8:G9"/>
    <mergeCell ref="B68:B70"/>
    <mergeCell ref="B61:B62"/>
    <mergeCell ref="D61:D62"/>
    <mergeCell ref="F59:F60"/>
    <mergeCell ref="F55:F56"/>
    <mergeCell ref="E23:E24"/>
    <mergeCell ref="E63:E64"/>
    <mergeCell ref="B42:B43"/>
    <mergeCell ref="E10:E11"/>
    <mergeCell ref="G79:G81"/>
    <mergeCell ref="G10:G11"/>
    <mergeCell ref="B23:B24"/>
    <mergeCell ref="D32:D33"/>
    <mergeCell ref="B20:B22"/>
    <mergeCell ref="F42:F43"/>
    <mergeCell ref="F29:F31"/>
    <mergeCell ref="E71:E73"/>
    <mergeCell ref="B6:B7"/>
    <mergeCell ref="G71:G73"/>
    <mergeCell ref="F65:F67"/>
    <mergeCell ref="E82:E84"/>
    <mergeCell ref="G82:G84"/>
    <mergeCell ref="E50:E51"/>
    <mergeCell ref="B40:B41"/>
    <mergeCell ref="G50:G51"/>
    <mergeCell ref="G44:G45"/>
    <mergeCell ref="B63:B64"/>
    <mergeCell ref="F48:F49"/>
    <mergeCell ref="D63:D64"/>
    <mergeCell ref="F57:F58"/>
    <mergeCell ref="F79:F81"/>
    <mergeCell ref="E25:E26"/>
    <mergeCell ref="E12:E13"/>
    <mergeCell ref="E34:E36"/>
    <mergeCell ref="G12:G13"/>
    <mergeCell ref="G34:G36"/>
    <mergeCell ref="B25:B26"/>
    <mergeCell ref="G68:G70"/>
    <mergeCell ref="C6:C7"/>
    <mergeCell ref="F63:F64"/>
    <mergeCell ref="D40:D41"/>
    <mergeCell ref="F40:F41"/>
    <mergeCell ref="B27:B28"/>
    <mergeCell ref="D27:D28"/>
    <mergeCell ref="G23:G24"/>
    <mergeCell ref="E55:E56"/>
    <mergeCell ref="G20:G22"/>
    <mergeCell ref="F52:F54"/>
    <mergeCell ref="B77:B78"/>
    <mergeCell ref="G14:G16"/>
    <mergeCell ref="G29:G31"/>
    <mergeCell ref="D77:D78"/>
    <mergeCell ref="B74:B76"/>
    <mergeCell ref="B85:B87"/>
    <mergeCell ref="E46:E47"/>
    <mergeCell ref="E40:E41"/>
    <mergeCell ref="B44:B45"/>
    <mergeCell ref="E27:E28"/>
    <mergeCell ref="G63:G64"/>
    <mergeCell ref="F61:F62"/>
    <mergeCell ref="D25:D26"/>
    <mergeCell ref="B55:B56"/>
    <mergeCell ref="F46:F47"/>
    <mergeCell ref="D55:D56"/>
    <mergeCell ref="G25:G26"/>
    <mergeCell ref="E57:E58"/>
    <mergeCell ref="G88:G89"/>
    <mergeCell ref="E79:E81"/>
    <mergeCell ref="B32:B33"/>
    <mergeCell ref="G27:G28"/>
    <mergeCell ref="D88:D89"/>
    <mergeCell ref="F88:F89"/>
    <mergeCell ref="B14:B16"/>
    <mergeCell ref="B29:B31"/>
    <mergeCell ref="G77:G78"/>
    <mergeCell ref="F10:F11"/>
    <mergeCell ref="E65:E67"/>
    <mergeCell ref="E74:E76"/>
    <mergeCell ref="G74:G76"/>
    <mergeCell ref="B50:B51"/>
    <mergeCell ref="G61:G62"/>
    <mergeCell ref="B65:B67"/>
    <mergeCell ref="E42:E43"/>
    <mergeCell ref="G42:G43"/>
    <mergeCell ref="B8:B9"/>
    <mergeCell ref="E85:E87"/>
    <mergeCell ref="G85:G87"/>
    <mergeCell ref="E44:E45"/>
    <mergeCell ref="E59:E60"/>
    <mergeCell ref="B57:B58"/>
    <mergeCell ref="D57:D58"/>
    <mergeCell ref="F8:F9"/>
    <mergeCell ref="F82:F84"/>
    <mergeCell ref="G6:G7"/>
    <mergeCell ref="G55:G56"/>
    <mergeCell ref="E37:E39"/>
    <mergeCell ref="F50:F51"/>
    <mergeCell ref="F23:F24"/>
    <mergeCell ref="E32:E33"/>
    <mergeCell ref="F34:F36"/>
    <mergeCell ref="B52:B54"/>
    <mergeCell ref="E20:E22"/>
    <mergeCell ref="F68:F70"/>
    <mergeCell ref="E14:E16"/>
    <mergeCell ref="E29:E31"/>
    <mergeCell ref="D42:D43"/>
    <mergeCell ref="B17:B19"/>
    <mergeCell ref="F20:F22"/>
    <mergeCell ref="G65:G67"/>
    <mergeCell ref="F6:F7"/>
    <mergeCell ref="B37:B39"/>
    <mergeCell ref="F71:F73"/>
    <mergeCell ref="G57:G58"/>
    <mergeCell ref="F25:F26"/>
    <mergeCell ref="F12:F13"/>
    <mergeCell ref="B46:B47"/>
    <mergeCell ref="D46:D47"/>
    <mergeCell ref="F37:F39"/>
    <mergeCell ref="F32:F33"/>
    <mergeCell ref="F14:F16"/>
    <mergeCell ref="B48:B49"/>
    <mergeCell ref="D48:D49"/>
    <mergeCell ref="B88:B89"/>
    <mergeCell ref="E52:E54"/>
    <mergeCell ref="G52:G54"/>
    <mergeCell ref="E6:E7"/>
    <mergeCell ref="B79:B81"/>
    <mergeCell ref="E77:E78"/>
    <mergeCell ref="B10:B11"/>
    <mergeCell ref="F27:F28"/>
    <mergeCell ref="E17:E19"/>
    <mergeCell ref="E68:E70"/>
    <mergeCell ref="E61:E62"/>
    <mergeCell ref="G17:G19"/>
    <mergeCell ref="D50:D51"/>
    <mergeCell ref="F77:F78"/>
    <mergeCell ref="B71:B73"/>
    <mergeCell ref="G59:G60"/>
    <mergeCell ref="G32:G33"/>
    <mergeCell ref="F74:F76"/>
    <mergeCell ref="G37:G39"/>
    <mergeCell ref="B82:B84"/>
    <mergeCell ref="G46:G47"/>
    <mergeCell ref="F85:F87"/>
    <mergeCell ref="G40:G41"/>
    <mergeCell ref="B59:B60"/>
    <mergeCell ref="D44:D45"/>
    <mergeCell ref="D59:D60"/>
  </mergeCells>
  <pageMargins left="0.7" right="0.7" top="0.75" bottom="0.75" header="0.3" footer="0.3"/>
</worksheet>
</file>

<file path=xl/worksheets/sheet12.xml><?xml version="1.0" encoding="utf-8"?>
<worksheet xmlns="http://schemas.openxmlformats.org/spreadsheetml/2006/main">
  <sheetPr>
    <tabColor rgb="FF002060"/>
    <outlinePr summaryBelow="1" summaryRight="1"/>
    <pageSetUpPr/>
  </sheetPr>
  <dimension ref="A2:O153"/>
  <sheetViews>
    <sheetView showGridLines="0" view="pageBreakPreview" topLeftCell="A67" zoomScaleNormal="100" zoomScaleSheetLayoutView="100" workbookViewId="0">
      <selection activeCell="L71" sqref="L70:L71"/>
    </sheetView>
  </sheetViews>
  <sheetFormatPr baseColWidth="8" defaultRowHeight="13.5"/>
  <cols>
    <col width="3" customWidth="1" style="237" min="1" max="2"/>
    <col width="29.125" customWidth="1" style="237" min="3" max="3"/>
    <col width="14" customWidth="1" style="237" min="4" max="13"/>
    <col width="13" customWidth="1" style="276" min="5" max="5"/>
    <col width="13" customWidth="1" style="276" min="6" max="6"/>
    <col width="13" customWidth="1" style="276" min="7" max="7"/>
    <col width="13" customWidth="1" style="276" min="8" max="8"/>
    <col width="13" customWidth="1" style="276" min="9" max="9"/>
    <col width="9" customWidth="1" style="237" min="14" max="16384"/>
    <col width="62" customWidth="1" style="276" min="15" max="15"/>
  </cols>
  <sheetData>
    <row r="2">
      <c r="A2" s="202" t="inlineStr">
        <is>
          <t>시장 규모 및 산업 구조</t>
        </is>
      </c>
    </row>
    <row r="3">
      <c r="B3" s="204" t="n"/>
    </row>
    <row r="5">
      <c r="A5" s="237" t="inlineStr">
        <is>
          <t>x</t>
        </is>
      </c>
      <c r="B5" s="202" t="inlineStr">
        <is>
          <t>글로벌 시장 규모</t>
        </is>
      </c>
    </row>
    <row r="6">
      <c r="C6" s="205" t="inlineStr">
        <is>
          <t>구분</t>
        </is>
      </c>
      <c r="D6" s="205" t="inlineStr">
        <is>
          <t>Unit</t>
        </is>
      </c>
      <c r="E6" s="205" t="n">
        <v>2025</v>
      </c>
      <c r="F6" s="205">
        <f>+E6+1</f>
        <v/>
      </c>
      <c r="G6" s="205" t="inlineStr">
        <is>
          <t>…</t>
        </is>
      </c>
      <c r="H6" s="205" t="n">
        <v>2034</v>
      </c>
      <c r="I6" s="205" t="inlineStr">
        <is>
          <t xml:space="preserve">CAGR </t>
        </is>
      </c>
      <c r="O6" s="220" t="inlineStr">
        <is>
          <t>Source</t>
        </is>
      </c>
    </row>
    <row r="7">
      <c r="C7" s="206" t="inlineStr">
        <is>
          <t>외골격 웨어러블 로봇</t>
        </is>
      </c>
      <c r="D7" s="207" t="inlineStr">
        <is>
          <t>USD bil</t>
        </is>
      </c>
      <c r="E7" s="216" t="n">
        <v>2.49</v>
      </c>
      <c r="F7" s="216" t="n">
        <v>3.52</v>
      </c>
      <c r="G7" s="216" t="n"/>
      <c r="H7" s="216" t="n">
        <v>64.23</v>
      </c>
      <c r="I7" s="217" t="n">
        <v>0.437</v>
      </c>
      <c r="J7" s="208" t="inlineStr">
        <is>
          <t>'26~'34</t>
        </is>
      </c>
      <c r="O7" s="237" t="inlineStr">
        <is>
          <t>https://www.fortunebusinessinsights.com/wearable-robotic-exoskeleton-market-104664</t>
        </is>
      </c>
    </row>
    <row r="8">
      <c r="B8" s="209" t="n"/>
    </row>
    <row r="9">
      <c r="B9" s="209" t="n"/>
      <c r="C9" s="205" t="inlineStr">
        <is>
          <t>구분</t>
        </is>
      </c>
      <c r="D9" s="205" t="inlineStr">
        <is>
          <t>Unit</t>
        </is>
      </c>
      <c r="E9" s="205" t="n">
        <v>2019</v>
      </c>
      <c r="F9" s="205">
        <f>+E9+1</f>
        <v/>
      </c>
      <c r="G9" s="205">
        <f>+F9+1</f>
        <v/>
      </c>
      <c r="H9" s="205">
        <f>+G9+1</f>
        <v/>
      </c>
      <c r="I9" s="205">
        <f>+H9+1</f>
        <v/>
      </c>
      <c r="J9" s="205">
        <f>+I9+1</f>
        <v/>
      </c>
      <c r="K9" s="205">
        <f>+J9+1</f>
        <v/>
      </c>
      <c r="L9" s="205">
        <f>+K9+1</f>
        <v/>
      </c>
      <c r="M9" s="205" t="inlineStr">
        <is>
          <t xml:space="preserve">CAGR </t>
        </is>
      </c>
      <c r="O9" s="237" t="inlineStr">
        <is>
          <t>https://zdnet.co.kr/view/?no=20231201163256</t>
        </is>
      </c>
    </row>
    <row r="10">
      <c r="B10" s="209" t="n"/>
      <c r="C10" s="206" t="inlineStr">
        <is>
          <t>글로벌 로봇산업</t>
        </is>
      </c>
      <c r="D10" s="207" t="inlineStr">
        <is>
          <t>USD bil</t>
        </is>
      </c>
      <c r="E10" s="216">
        <f>+E11+E12</f>
        <v/>
      </c>
      <c r="F10" s="216">
        <f>+F11+F12</f>
        <v/>
      </c>
      <c r="G10" s="216">
        <f>+G11+G12</f>
        <v/>
      </c>
      <c r="H10" s="216">
        <f>+H11+H12</f>
        <v/>
      </c>
      <c r="I10" s="216">
        <f>+I11+I12</f>
        <v/>
      </c>
      <c r="J10" s="216">
        <f>+J11+J12</f>
        <v/>
      </c>
      <c r="K10" s="216">
        <f>+K11+K12</f>
        <v/>
      </c>
      <c r="L10" s="216">
        <f>+L11+L12</f>
        <v/>
      </c>
      <c r="M10" s="216">
        <f>RATE(7,0,-E10,L10)</f>
        <v/>
      </c>
      <c r="N10" s="208" t="inlineStr">
        <is>
          <t>'19~'26</t>
        </is>
      </c>
      <c r="O10" s="237" t="inlineStr">
        <is>
          <t>하나금융연구소, 로봇을 만나는 새로운 방법, 2023.03.10.</t>
        </is>
      </c>
    </row>
    <row r="11">
      <c r="B11" s="209" t="n"/>
      <c r="C11" s="210" t="inlineStr">
        <is>
          <t>산업용 로봇</t>
        </is>
      </c>
      <c r="D11" s="207" t="inlineStr">
        <is>
          <t>USD bil</t>
        </is>
      </c>
      <c r="E11" s="216" t="n">
        <v>13.8</v>
      </c>
      <c r="F11" s="216" t="n">
        <v>11.9</v>
      </c>
      <c r="G11" s="216" t="n">
        <v>13.7</v>
      </c>
      <c r="H11" s="216" t="n">
        <v>16.8</v>
      </c>
      <c r="I11" s="216" t="n">
        <v>18.9</v>
      </c>
      <c r="J11" s="216" t="n">
        <v>21.3</v>
      </c>
      <c r="K11" s="216" t="n">
        <v>23.9</v>
      </c>
      <c r="L11" s="216" t="n">
        <v>26.6</v>
      </c>
      <c r="M11" s="216">
        <f>RATE(7,0,-E11,L11)</f>
        <v/>
      </c>
      <c r="N11" s="208" t="inlineStr">
        <is>
          <t>'19~'26</t>
        </is>
      </c>
    </row>
    <row r="12">
      <c r="B12" s="209" t="n"/>
      <c r="C12" s="210" t="inlineStr">
        <is>
          <t>서비스용 로봇</t>
        </is>
      </c>
      <c r="D12" s="207" t="inlineStr">
        <is>
          <t>USD bil</t>
        </is>
      </c>
      <c r="E12" s="216" t="n">
        <v>12.9</v>
      </c>
      <c r="F12" s="216" t="n">
        <v>15.9</v>
      </c>
      <c r="G12" s="216" t="n">
        <v>19.5</v>
      </c>
      <c r="H12" s="216" t="n">
        <v>22.2</v>
      </c>
      <c r="I12" s="216" t="n">
        <v>27</v>
      </c>
      <c r="J12" s="216" t="n">
        <v>32.7</v>
      </c>
      <c r="K12" s="216" t="n">
        <v>3.95</v>
      </c>
      <c r="L12" s="216" t="n">
        <v>47.5</v>
      </c>
      <c r="M12" s="216">
        <f>RATE(7,0,-E12,L12)</f>
        <v/>
      </c>
      <c r="N12" s="208" t="inlineStr">
        <is>
          <t>'19~'26</t>
        </is>
      </c>
    </row>
    <row r="13">
      <c r="B13" s="209" t="n"/>
    </row>
    <row r="14">
      <c r="A14" s="237" t="inlineStr">
        <is>
          <t>x</t>
        </is>
      </c>
      <c r="B14" s="202" t="inlineStr">
        <is>
          <t>국내 로봇 산업</t>
        </is>
      </c>
      <c r="O14" s="237" t="inlineStr">
        <is>
          <t>https://www.kiria.org/portal/policysut/portalPlcyReports.do</t>
        </is>
      </c>
    </row>
    <row r="15">
      <c r="C15" s="205" t="inlineStr">
        <is>
          <t>구분</t>
        </is>
      </c>
      <c r="D15" s="205" t="inlineStr">
        <is>
          <t>Unit</t>
        </is>
      </c>
      <c r="E15" s="205" t="n">
        <v>2022</v>
      </c>
      <c r="F15" s="205">
        <f>+E15+1</f>
        <v/>
      </c>
      <c r="G15" s="205">
        <f>+F15+1</f>
        <v/>
      </c>
      <c r="H15" s="205" t="inlineStr">
        <is>
          <t>CAGR</t>
        </is>
      </c>
      <c r="I15" s="211" t="n"/>
      <c r="J15" s="211" t="n"/>
      <c r="K15" s="211" t="n"/>
      <c r="L15" s="211" t="n"/>
      <c r="M15" s="211" t="n"/>
      <c r="O15" s="237" t="inlineStr">
        <is>
          <t>한국로봇산업진흥원, 2024년 로봇산업 실태조사 결과보고서</t>
        </is>
      </c>
    </row>
    <row r="16">
      <c r="C16" s="221" t="inlineStr">
        <is>
          <t>매출</t>
        </is>
      </c>
      <c r="D16" s="222" t="inlineStr">
        <is>
          <t>억원</t>
        </is>
      </c>
      <c r="E16" s="223" t="n">
        <v>58933</v>
      </c>
      <c r="F16" s="223" t="n">
        <v>59805</v>
      </c>
      <c r="G16" s="223" t="n">
        <v>61695</v>
      </c>
      <c r="H16" s="224">
        <f>RATE(2,0,-E16,G16)</f>
        <v/>
      </c>
      <c r="I16" s="219" t="inlineStr">
        <is>
          <t>'22~'24</t>
        </is>
      </c>
      <c r="J16" s="211" t="n"/>
      <c r="K16" s="211" t="n"/>
      <c r="L16" s="211" t="n"/>
      <c r="M16" s="211" t="n"/>
    </row>
    <row r="17">
      <c r="C17" s="225" t="inlineStr">
        <is>
          <t>제조업용 로봇</t>
        </is>
      </c>
      <c r="D17" s="207" t="inlineStr">
        <is>
          <t>억원</t>
        </is>
      </c>
      <c r="E17" s="218" t="n">
        <v>29747</v>
      </c>
      <c r="F17" s="218" t="n">
        <v>29903</v>
      </c>
      <c r="G17" s="218" t="n">
        <v>31075</v>
      </c>
      <c r="H17" s="217">
        <f>RATE(2,0,-E17,G17)</f>
        <v/>
      </c>
      <c r="I17" s="219" t="n"/>
      <c r="J17" s="211" t="n"/>
      <c r="K17" s="211" t="n"/>
      <c r="L17" s="211" t="n"/>
      <c r="M17" s="211" t="n"/>
    </row>
    <row r="18">
      <c r="C18" s="225" t="inlineStr">
        <is>
          <t>전문서비스용 로봇</t>
        </is>
      </c>
      <c r="D18" s="207" t="inlineStr">
        <is>
          <t>억원</t>
        </is>
      </c>
      <c r="E18" s="218" t="n">
        <v>5417</v>
      </c>
      <c r="F18" s="218" t="n">
        <v>6143</v>
      </c>
      <c r="G18" s="218" t="n">
        <v>6424</v>
      </c>
      <c r="H18" s="217">
        <f>RATE(2,0,-E18,G18)</f>
        <v/>
      </c>
      <c r="I18" s="219" t="n"/>
      <c r="J18" s="211" t="n"/>
      <c r="K18" s="211" t="n"/>
      <c r="L18" s="211" t="n"/>
      <c r="M18" s="211" t="n"/>
    </row>
    <row r="19">
      <c r="C19" s="225" t="inlineStr">
        <is>
          <t>개인서비스용 로봇</t>
        </is>
      </c>
      <c r="D19" s="207" t="inlineStr">
        <is>
          <t>억원</t>
        </is>
      </c>
      <c r="E19" s="218" t="n">
        <v>4406</v>
      </c>
      <c r="F19" s="218" t="n">
        <v>4313</v>
      </c>
      <c r="G19" s="218" t="n">
        <v>4386</v>
      </c>
      <c r="H19" s="217">
        <f>RATE(2,0,-E19,G19)</f>
        <v/>
      </c>
      <c r="I19" s="219" t="n"/>
      <c r="J19" s="211" t="n"/>
      <c r="K19" s="211" t="n"/>
      <c r="L19" s="211" t="n"/>
      <c r="M19" s="211" t="n"/>
    </row>
    <row r="20">
      <c r="C20" s="225" t="inlineStr">
        <is>
          <t>로봇부품 및 소프트웨어</t>
        </is>
      </c>
      <c r="D20" s="207" t="inlineStr">
        <is>
          <t>억원</t>
        </is>
      </c>
      <c r="E20" s="218" t="n">
        <v>19363</v>
      </c>
      <c r="F20" s="218" t="n">
        <v>19446</v>
      </c>
      <c r="G20" s="218" t="n">
        <v>19810</v>
      </c>
      <c r="H20" s="217">
        <f>RATE(2,0,-E20,G20)</f>
        <v/>
      </c>
      <c r="I20" s="219" t="n"/>
      <c r="J20" s="211" t="n"/>
      <c r="K20" s="211" t="n"/>
      <c r="L20" s="211" t="n"/>
      <c r="M20" s="211" t="n"/>
    </row>
    <row r="21">
      <c r="C21" s="221" t="inlineStr">
        <is>
          <t>생산</t>
        </is>
      </c>
      <c r="D21" s="222" t="inlineStr">
        <is>
          <t>억원</t>
        </is>
      </c>
      <c r="E21" s="223" t="n">
        <v>55265</v>
      </c>
      <c r="F21" s="223" t="n">
        <v>56912</v>
      </c>
      <c r="G21" s="223" t="n">
        <v>59447</v>
      </c>
      <c r="H21" s="224">
        <f>RATE(2,0,-E21,G21)</f>
        <v/>
      </c>
      <c r="I21" s="219" t="inlineStr">
        <is>
          <t>'22~'24</t>
        </is>
      </c>
      <c r="J21" s="211" t="n"/>
      <c r="K21" s="211" t="n"/>
      <c r="L21" s="211" t="n"/>
      <c r="M21" s="211" t="n"/>
    </row>
    <row r="22">
      <c r="C22" s="225" t="inlineStr">
        <is>
          <t>제조업용 로봇</t>
        </is>
      </c>
      <c r="D22" s="207" t="inlineStr">
        <is>
          <t>억원</t>
        </is>
      </c>
      <c r="E22" s="218" t="n">
        <v>27319</v>
      </c>
      <c r="F22" s="218" t="n">
        <v>27902</v>
      </c>
      <c r="G22" s="218" t="n">
        <v>29521</v>
      </c>
      <c r="H22" s="217">
        <f>RATE(2,0,-E22,G22)</f>
        <v/>
      </c>
      <c r="I22" s="219" t="n"/>
      <c r="J22" s="211" t="n"/>
      <c r="K22" s="211" t="n"/>
      <c r="L22" s="211" t="n"/>
      <c r="M22" s="211" t="n"/>
    </row>
    <row r="23">
      <c r="C23" s="225" t="inlineStr">
        <is>
          <t>전문서비스용 로봇</t>
        </is>
      </c>
      <c r="D23" s="207" t="inlineStr">
        <is>
          <t>억원</t>
        </is>
      </c>
      <c r="E23" s="218" t="n">
        <v>5081</v>
      </c>
      <c r="F23" s="218" t="n">
        <v>5655</v>
      </c>
      <c r="G23" s="218" t="n">
        <v>6035</v>
      </c>
      <c r="H23" s="217">
        <f>RATE(2,0,-E23,G23)</f>
        <v/>
      </c>
      <c r="I23" s="219" t="n"/>
      <c r="J23" s="211" t="n"/>
      <c r="K23" s="211" t="n"/>
      <c r="L23" s="211" t="n"/>
      <c r="M23" s="211" t="n"/>
    </row>
    <row r="24">
      <c r="C24" s="225" t="inlineStr">
        <is>
          <t>개인서비스용 로봇</t>
        </is>
      </c>
      <c r="D24" s="207" t="inlineStr">
        <is>
          <t>억원</t>
        </is>
      </c>
      <c r="E24" s="218" t="n">
        <v>4144</v>
      </c>
      <c r="F24" s="218" t="n">
        <v>4090</v>
      </c>
      <c r="G24" s="218" t="n">
        <v>4238</v>
      </c>
      <c r="H24" s="217">
        <f>RATE(2,0,-E24,G24)</f>
        <v/>
      </c>
      <c r="I24" s="219" t="n"/>
      <c r="J24" s="211" t="n"/>
      <c r="K24" s="211" t="n"/>
      <c r="L24" s="211" t="n"/>
      <c r="M24" s="211" t="n"/>
    </row>
    <row r="25">
      <c r="C25" s="225" t="inlineStr">
        <is>
          <t>로봇부품 및 소프트웨어</t>
        </is>
      </c>
      <c r="D25" s="207" t="inlineStr">
        <is>
          <t>억원</t>
        </is>
      </c>
      <c r="E25" s="218" t="n">
        <v>18721</v>
      </c>
      <c r="F25" s="218" t="n">
        <v>19264</v>
      </c>
      <c r="G25" s="218" t="n">
        <v>19653</v>
      </c>
      <c r="H25" s="217">
        <f>RATE(2,0,-E25,G25)</f>
        <v/>
      </c>
      <c r="I25" s="219" t="n"/>
      <c r="J25" s="211" t="n"/>
      <c r="K25" s="211" t="n"/>
      <c r="L25" s="211" t="n"/>
      <c r="M25" s="211" t="n"/>
    </row>
    <row r="26">
      <c r="C26" s="221" t="inlineStr">
        <is>
          <t>수출</t>
        </is>
      </c>
      <c r="D26" s="222" t="inlineStr">
        <is>
          <t>억원</t>
        </is>
      </c>
      <c r="E26" s="223" t="n">
        <v>12248</v>
      </c>
      <c r="F26" s="223" t="n">
        <v>12484</v>
      </c>
      <c r="G26" s="223" t="n">
        <v>12578</v>
      </c>
      <c r="H26" s="224">
        <f>RATE(2,0,-E26,G26)</f>
        <v/>
      </c>
      <c r="I26" s="219" t="inlineStr">
        <is>
          <t>'22~'24</t>
        </is>
      </c>
      <c r="J26" s="211" t="n"/>
      <c r="K26" s="211" t="n"/>
      <c r="L26" s="211" t="n"/>
      <c r="M26" s="211" t="n"/>
    </row>
    <row r="27">
      <c r="C27" s="225" t="inlineStr">
        <is>
          <t>제조업용 로봇</t>
        </is>
      </c>
      <c r="D27" s="207" t="inlineStr">
        <is>
          <t>억원</t>
        </is>
      </c>
      <c r="E27" s="218" t="n">
        <v>9327</v>
      </c>
      <c r="F27" s="218" t="n">
        <v>9248</v>
      </c>
      <c r="G27" s="218" t="n">
        <v>9297</v>
      </c>
      <c r="H27" s="217">
        <f>RATE(2,0,-E27,G27)</f>
        <v/>
      </c>
      <c r="I27" s="219" t="n"/>
      <c r="J27" s="211" t="n"/>
      <c r="K27" s="211" t="n"/>
      <c r="L27" s="211" t="n"/>
      <c r="M27" s="211" t="n"/>
    </row>
    <row r="28">
      <c r="C28" s="225" t="inlineStr">
        <is>
          <t>전문서비스용 로봇</t>
        </is>
      </c>
      <c r="D28" s="207" t="inlineStr">
        <is>
          <t>억원</t>
        </is>
      </c>
      <c r="E28" s="218" t="n">
        <v>435</v>
      </c>
      <c r="F28" s="218" t="n">
        <v>713</v>
      </c>
      <c r="G28" s="218" t="n">
        <v>680</v>
      </c>
      <c r="H28" s="217">
        <f>RATE(2,0,-E28,G28)</f>
        <v/>
      </c>
      <c r="I28" s="219" t="n"/>
      <c r="J28" s="211" t="n"/>
      <c r="K28" s="211" t="n"/>
      <c r="L28" s="211" t="n"/>
      <c r="M28" s="211" t="n"/>
    </row>
    <row r="29">
      <c r="C29" s="225" t="inlineStr">
        <is>
          <t>개인서비스용 로봇</t>
        </is>
      </c>
      <c r="D29" s="207" t="inlineStr">
        <is>
          <t>억원</t>
        </is>
      </c>
      <c r="E29" s="218" t="n">
        <v>688</v>
      </c>
      <c r="F29" s="218" t="n">
        <v>643</v>
      </c>
      <c r="G29" s="218" t="n">
        <v>648</v>
      </c>
      <c r="H29" s="217">
        <f>RATE(2,0,-E29,G29)</f>
        <v/>
      </c>
      <c r="I29" s="219" t="n"/>
      <c r="J29" s="211" t="n"/>
      <c r="K29" s="211" t="n"/>
      <c r="L29" s="211" t="n"/>
      <c r="M29" s="211" t="n"/>
    </row>
    <row r="30">
      <c r="C30" s="225" t="inlineStr">
        <is>
          <t>로봇부품 및 소프트웨어</t>
        </is>
      </c>
      <c r="D30" s="207" t="inlineStr">
        <is>
          <t>억원</t>
        </is>
      </c>
      <c r="E30" s="218" t="n">
        <v>1798</v>
      </c>
      <c r="F30" s="218" t="n">
        <v>1880</v>
      </c>
      <c r="G30" s="218" t="n">
        <v>1953</v>
      </c>
      <c r="H30" s="217">
        <f>RATE(2,0,-E30,G30)</f>
        <v/>
      </c>
      <c r="I30" s="219" t="n"/>
      <c r="J30" s="211" t="n"/>
      <c r="K30" s="211" t="n"/>
      <c r="L30" s="211" t="n"/>
      <c r="M30" s="211" t="n"/>
    </row>
    <row r="31">
      <c r="C31" s="221" t="inlineStr">
        <is>
          <t>수입</t>
        </is>
      </c>
      <c r="D31" s="222" t="inlineStr">
        <is>
          <t>억원</t>
        </is>
      </c>
      <c r="E31" s="223" t="n">
        <v>6380</v>
      </c>
      <c r="F31" s="223" t="n">
        <v>6562</v>
      </c>
      <c r="G31" s="223" t="n">
        <v>6895</v>
      </c>
      <c r="H31" s="224">
        <f>RATE(2,0,-E31,G31)</f>
        <v/>
      </c>
      <c r="I31" s="219" t="inlineStr">
        <is>
          <t>'22~'24</t>
        </is>
      </c>
      <c r="J31" s="211" t="n"/>
      <c r="K31" s="211" t="n"/>
      <c r="L31" s="211" t="n"/>
      <c r="M31" s="211" t="n"/>
    </row>
    <row r="32">
      <c r="C32" s="225" t="inlineStr">
        <is>
          <t>제조업용 로봇</t>
        </is>
      </c>
      <c r="D32" s="207" t="inlineStr">
        <is>
          <t>억원</t>
        </is>
      </c>
      <c r="E32" s="218" t="n">
        <v>4582</v>
      </c>
      <c r="F32" s="218" t="n">
        <v>4668</v>
      </c>
      <c r="G32" s="218" t="n">
        <v>4680</v>
      </c>
      <c r="H32" s="217">
        <f>RATE(2,0,-E32,G32)</f>
        <v/>
      </c>
      <c r="I32" s="219" t="n"/>
      <c r="J32" s="211" t="n"/>
      <c r="K32" s="211" t="n"/>
      <c r="L32" s="211" t="n"/>
      <c r="M32" s="211" t="n"/>
    </row>
    <row r="33">
      <c r="C33" s="225" t="inlineStr">
        <is>
          <t>전문서비스용 로봇</t>
        </is>
      </c>
      <c r="D33" s="207" t="inlineStr">
        <is>
          <t>억원</t>
        </is>
      </c>
      <c r="E33" s="218" t="n">
        <v>270</v>
      </c>
      <c r="F33" s="218" t="n">
        <v>349</v>
      </c>
      <c r="G33" s="218" t="n">
        <v>331</v>
      </c>
      <c r="H33" s="217">
        <f>RATE(2,0,-E33,G33)</f>
        <v/>
      </c>
      <c r="I33" s="219" t="n"/>
      <c r="J33" s="211" t="n"/>
      <c r="K33" s="211" t="n"/>
      <c r="L33" s="211" t="n"/>
      <c r="M33" s="211" t="n"/>
    </row>
    <row r="34">
      <c r="C34" s="225" t="inlineStr">
        <is>
          <t>개인서비스용 로봇</t>
        </is>
      </c>
      <c r="D34" s="207" t="inlineStr">
        <is>
          <t>억원</t>
        </is>
      </c>
      <c r="E34" s="218" t="n">
        <v>236</v>
      </c>
      <c r="F34" s="218" t="n">
        <v>189</v>
      </c>
      <c r="G34" s="218" t="n">
        <v>149</v>
      </c>
      <c r="H34" s="217">
        <f>RATE(2,0,-E34,G34)</f>
        <v/>
      </c>
      <c r="I34" s="219" t="n"/>
      <c r="J34" s="211" t="n"/>
      <c r="K34" s="211" t="n"/>
      <c r="L34" s="211" t="n"/>
      <c r="M34" s="211" t="n"/>
    </row>
    <row r="35">
      <c r="C35" s="225" t="inlineStr">
        <is>
          <t>로봇부품 및 소프트웨어</t>
        </is>
      </c>
      <c r="D35" s="207" t="inlineStr">
        <is>
          <t>억원</t>
        </is>
      </c>
      <c r="E35" s="218" t="n">
        <v>1291</v>
      </c>
      <c r="F35" s="218" t="n">
        <v>1356</v>
      </c>
      <c r="G35" s="218" t="n">
        <v>1736</v>
      </c>
      <c r="H35" s="217">
        <f>RATE(2,0,-E35,G35)</f>
        <v/>
      </c>
      <c r="I35" s="219" t="n"/>
      <c r="J35" s="211" t="n"/>
      <c r="K35" s="211" t="n"/>
      <c r="L35" s="211" t="n"/>
      <c r="M35" s="211" t="n"/>
    </row>
    <row r="37">
      <c r="A37" s="237" t="inlineStr">
        <is>
          <t>x</t>
        </is>
      </c>
      <c r="B37" s="202" t="inlineStr">
        <is>
          <t>전문서비스용 로봇 출하 현황</t>
        </is>
      </c>
    </row>
    <row r="38">
      <c r="C38" s="205" t="inlineStr">
        <is>
          <t>구분</t>
        </is>
      </c>
      <c r="D38" s="205" t="inlineStr">
        <is>
          <t>Unit</t>
        </is>
      </c>
      <c r="E38" s="205" t="inlineStr">
        <is>
          <t>금액</t>
        </is>
      </c>
      <c r="F38" s="205" t="inlineStr">
        <is>
          <t>구성비</t>
        </is>
      </c>
    </row>
    <row r="39">
      <c r="C39" s="221" t="inlineStr">
        <is>
          <t>합계</t>
        </is>
      </c>
      <c r="D39" s="222" t="inlineStr">
        <is>
          <t>백만원</t>
        </is>
      </c>
      <c r="E39" s="223" t="n">
        <v>615579</v>
      </c>
      <c r="F39" s="398" t="n">
        <v>1</v>
      </c>
    </row>
    <row r="40">
      <c r="C40" s="225" t="inlineStr">
        <is>
          <t>사업시설 관리용 로봇</t>
        </is>
      </c>
      <c r="D40" s="207" t="inlineStr">
        <is>
          <t>백만원</t>
        </is>
      </c>
      <c r="E40" s="218" t="n">
        <v>44144</v>
      </c>
      <c r="F40" s="399" t="n">
        <v>0.07200000000000001</v>
      </c>
    </row>
    <row r="41">
      <c r="C41" s="225" t="inlineStr">
        <is>
          <t>안전 및 극한작업용 로봇</t>
        </is>
      </c>
      <c r="D41" s="207" t="inlineStr">
        <is>
          <t>백만원</t>
        </is>
      </c>
      <c r="E41" s="218" t="n">
        <v>89189</v>
      </c>
      <c r="F41" s="399" t="n">
        <v>0.145</v>
      </c>
    </row>
    <row r="42">
      <c r="C42" s="227" t="inlineStr">
        <is>
          <t>의료용 로봇</t>
        </is>
      </c>
      <c r="D42" s="228" t="inlineStr">
        <is>
          <t>백만원</t>
        </is>
      </c>
      <c r="E42" s="229" t="n">
        <v>116787</v>
      </c>
      <c r="F42" s="400" t="n">
        <v>0.19</v>
      </c>
    </row>
    <row r="43">
      <c r="C43" s="225" t="inlineStr">
        <is>
          <t>건설용 로봇</t>
        </is>
      </c>
      <c r="D43" s="207" t="inlineStr">
        <is>
          <t>백만원</t>
        </is>
      </c>
      <c r="E43" s="218" t="n">
        <v>26872</v>
      </c>
      <c r="F43" s="399" t="n">
        <v>0.044</v>
      </c>
    </row>
    <row r="44">
      <c r="C44" s="225" t="inlineStr">
        <is>
          <t>군사용 로봇</t>
        </is>
      </c>
      <c r="D44" s="207" t="inlineStr">
        <is>
          <t>백만원</t>
        </is>
      </c>
      <c r="E44" s="218" t="n">
        <v>36000</v>
      </c>
      <c r="F44" s="399" t="n">
        <v>0.058</v>
      </c>
    </row>
    <row r="45">
      <c r="C45" s="225" t="inlineStr">
        <is>
          <t>농림어업용 로봇</t>
        </is>
      </c>
      <c r="D45" s="207" t="inlineStr">
        <is>
          <t>백만원</t>
        </is>
      </c>
      <c r="E45" s="218" t="n">
        <v>59790</v>
      </c>
      <c r="F45" s="399" t="n">
        <v>0.09699999999999999</v>
      </c>
    </row>
    <row r="46">
      <c r="C46" s="225" t="inlineStr">
        <is>
          <t>여가 및 오락 서비스용 로봇</t>
        </is>
      </c>
      <c r="D46" s="207" t="inlineStr">
        <is>
          <t>백만원</t>
        </is>
      </c>
      <c r="E46" s="218" t="n">
        <v>670</v>
      </c>
      <c r="F46" s="399" t="n">
        <v>0.001</v>
      </c>
    </row>
    <row r="47">
      <c r="C47" s="225" t="inlineStr">
        <is>
          <t>기타 전문서비스용 로봇</t>
        </is>
      </c>
      <c r="D47" s="207" t="inlineStr">
        <is>
          <t>백만원</t>
        </is>
      </c>
      <c r="E47" s="218" t="n">
        <v>242127</v>
      </c>
      <c r="F47" s="399" t="n">
        <v>0.393</v>
      </c>
    </row>
    <row r="54">
      <c r="A54" s="237" t="inlineStr">
        <is>
          <t>x</t>
        </is>
      </c>
      <c r="B54" s="202" t="inlineStr">
        <is>
          <t>국내 재활 웨어러블 로봇 시장점유율 (2023년)</t>
        </is>
      </c>
    </row>
    <row r="55">
      <c r="C55" s="205" t="inlineStr">
        <is>
          <t>구분</t>
        </is>
      </c>
      <c r="D55" s="205" t="inlineStr">
        <is>
          <t>엔젤로보틱스</t>
        </is>
      </c>
      <c r="E55" s="205" t="inlineStr">
        <is>
          <t>D사</t>
        </is>
      </c>
      <c r="F55" s="205" t="inlineStr">
        <is>
          <t>F사</t>
        </is>
      </c>
      <c r="G55" s="205" t="inlineStr">
        <is>
          <t>E사</t>
        </is>
      </c>
      <c r="H55" s="205" t="inlineStr">
        <is>
          <t>기타</t>
        </is>
      </c>
      <c r="I55" s="205" t="inlineStr">
        <is>
          <t>합계</t>
        </is>
      </c>
    </row>
    <row r="56">
      <c r="C56" s="212" t="inlineStr">
        <is>
          <t>시장점유율</t>
        </is>
      </c>
      <c r="D56" s="401" t="n">
        <v>0.5600000000000001</v>
      </c>
      <c r="E56" s="401" t="n">
        <v>0.21</v>
      </c>
      <c r="F56" s="401" t="n">
        <v>0.1</v>
      </c>
      <c r="G56" s="401" t="n">
        <v>0.07000000000000001</v>
      </c>
      <c r="H56" s="401" t="n">
        <v>0.06</v>
      </c>
      <c r="I56" s="401">
        <f>SUM(D56:H56)</f>
        <v/>
      </c>
    </row>
    <row r="57">
      <c r="B57" s="214" t="n"/>
    </row>
    <row r="66">
      <c r="A66" s="237" t="inlineStr">
        <is>
          <t>x</t>
        </is>
      </c>
      <c r="B66" s="202" t="inlineStr">
        <is>
          <t>침투율 및 잠재 시장</t>
        </is>
      </c>
      <c r="O66" s="412" t="n"/>
    </row>
    <row r="67">
      <c r="C67" s="205" t="inlineStr">
        <is>
          <t>구분</t>
        </is>
      </c>
      <c r="D67" s="205" t="inlineStr">
        <is>
          <t>수치</t>
        </is>
      </c>
      <c r="E67" s="205" t="inlineStr">
        <is>
          <t>의미</t>
        </is>
      </c>
      <c r="F67" s="205" t="inlineStr">
        <is>
          <t>출처</t>
        </is>
      </c>
    </row>
    <row r="68" ht="27" customHeight="1" s="276">
      <c r="C68" s="206" t="inlineStr">
        <is>
          <t>재활전문기관 보행재활로봇 보유율</t>
        </is>
      </c>
      <c r="D68" s="207" t="inlineStr">
        <is>
          <t>8%</t>
        </is>
      </c>
      <c r="E68" s="207" t="inlineStr">
        <is>
          <t>시장 개화 초기 단계</t>
        </is>
      </c>
      <c r="F68" s="207" t="inlineStr">
        <is>
          <t>유진투자증권</t>
        </is>
      </c>
    </row>
    <row r="69" ht="27" customHeight="1" s="276">
      <c r="C69" s="206" t="inlineStr">
        <is>
          <t>수익시장 내 침투율</t>
        </is>
      </c>
      <c r="D69" s="207" t="inlineStr">
        <is>
          <t>2.5%</t>
        </is>
      </c>
      <c r="E69" s="207" t="inlineStr">
        <is>
          <t>잔여 시장이 40배 규모</t>
        </is>
      </c>
      <c r="F69" s="207" t="inlineStr">
        <is>
          <t>유진투자증권</t>
        </is>
      </c>
    </row>
    <row r="70" ht="40.5" customHeight="1" s="276">
      <c r="C70" s="206" t="inlineStr">
        <is>
          <t>병원 구매비용 회수기간</t>
        </is>
      </c>
      <c r="D70" s="207" t="inlineStr">
        <is>
          <t>일반병원 1.3년 / 회복기재활병원 0.9년</t>
        </is>
      </c>
      <c r="E70" s="207" t="inlineStr">
        <is>
          <t>교체주기 5년 대비 조기 회수</t>
        </is>
      </c>
      <c r="F70" s="207" t="inlineStr">
        <is>
          <t>한국IR협의회</t>
        </is>
      </c>
    </row>
    <row r="71">
      <c r="C71" s="413" t="inlineStr">
        <is>
          <t>⚠ IR Book의 '소아 뇌성마비 약 8만명'은 위 심평원 진료인원(2025년 10,138명, 0~19세 7,069명)과 모수가 다름 — IM 인용 시 정의 확인 필요</t>
        </is>
      </c>
      <c r="D71" s="211" t="n"/>
      <c r="E71" s="211" t="n"/>
      <c r="F71" s="211" t="n"/>
    </row>
    <row r="72">
      <c r="A72" s="237" t="inlineStr">
        <is>
          <t>x</t>
        </is>
      </c>
      <c r="B72" s="202" t="inlineStr">
        <is>
          <t>인구 현황</t>
        </is>
      </c>
      <c r="C72" s="329" t="n"/>
      <c r="D72" s="211" t="n"/>
      <c r="E72" s="211" t="n"/>
      <c r="F72" s="211" t="n"/>
    </row>
    <row r="73">
      <c r="C73" s="205" t="inlineStr">
        <is>
          <t>구분</t>
        </is>
      </c>
      <c r="D73" s="205" t="inlineStr">
        <is>
          <t>Unit</t>
        </is>
      </c>
      <c r="E73" s="205" t="n">
        <v>2022</v>
      </c>
      <c r="F73" s="205">
        <f>+E73+1</f>
        <v/>
      </c>
      <c r="G73" s="205">
        <f>+F73+1</f>
        <v/>
      </c>
      <c r="H73" s="205">
        <f>+G73+1</f>
        <v/>
      </c>
      <c r="I73" s="205">
        <f>+H73+1</f>
        <v/>
      </c>
      <c r="J73" s="205">
        <f>+I73+1</f>
        <v/>
      </c>
      <c r="K73" s="205">
        <f>+J73+1</f>
        <v/>
      </c>
      <c r="L73" s="205">
        <f>+K73+1</f>
        <v/>
      </c>
      <c r="M73" s="205">
        <f>+L73+1</f>
        <v/>
      </c>
      <c r="O73" s="237" t="inlineStr">
        <is>
          <t>https://kosis.kr/statHtml/statHtml.do?orgId=101&amp;tblId=DT_1BPA002&amp;conn_path=I3</t>
        </is>
      </c>
    </row>
    <row r="74">
      <c r="C74" s="221" t="inlineStr">
        <is>
          <t>총인구</t>
        </is>
      </c>
      <c r="D74" s="222" t="inlineStr">
        <is>
          <t>명</t>
        </is>
      </c>
      <c r="E74" s="223" t="n">
        <v>51672569</v>
      </c>
      <c r="F74" s="223" t="n">
        <v>51712619</v>
      </c>
      <c r="G74" s="223" t="n">
        <v>51751065</v>
      </c>
      <c r="H74" s="223" t="n">
        <v>51684564</v>
      </c>
      <c r="I74" s="223" t="n">
        <v>51609121</v>
      </c>
      <c r="J74" s="223" t="n">
        <v>51534551</v>
      </c>
      <c r="K74" s="223" t="n">
        <v>51459877</v>
      </c>
      <c r="L74" s="223" t="n">
        <v>51384052</v>
      </c>
      <c r="M74" s="223" t="n">
        <v>51305713</v>
      </c>
    </row>
    <row r="75">
      <c r="C75" s="225" t="inlineStr">
        <is>
          <t>인구(명): 0-14세</t>
        </is>
      </c>
      <c r="D75" s="207" t="inlineStr">
        <is>
          <t>명</t>
        </is>
      </c>
      <c r="E75" s="218" t="n">
        <v>5947964</v>
      </c>
      <c r="F75" s="218" t="n">
        <v>5705235</v>
      </c>
      <c r="G75" s="218" t="n">
        <v>5485245</v>
      </c>
      <c r="H75" s="218" t="n">
        <v>5258466</v>
      </c>
      <c r="I75" s="218" t="n">
        <v>4996251</v>
      </c>
      <c r="J75" s="218" t="n">
        <v>4753757</v>
      </c>
      <c r="K75" s="218" t="n">
        <v>4530789</v>
      </c>
      <c r="L75" s="218" t="n">
        <v>4345056</v>
      </c>
      <c r="M75" s="218" t="n">
        <v>4159934</v>
      </c>
    </row>
    <row r="76">
      <c r="C76" s="225" t="inlineStr">
        <is>
          <t>인구(명): 15-64세</t>
        </is>
      </c>
      <c r="D76" s="207" t="inlineStr">
        <is>
          <t>명</t>
        </is>
      </c>
      <c r="E76" s="218" t="n">
        <v>36743472</v>
      </c>
      <c r="F76" s="218" t="n">
        <v>36571568</v>
      </c>
      <c r="G76" s="218" t="n">
        <v>36327585</v>
      </c>
      <c r="H76" s="218" t="n">
        <v>35912191</v>
      </c>
      <c r="I76" s="218" t="n">
        <v>35487854</v>
      </c>
      <c r="J76" s="218" t="n">
        <v>35183727</v>
      </c>
      <c r="K76" s="218" t="n">
        <v>34803739</v>
      </c>
      <c r="L76" s="218" t="n">
        <v>34517674</v>
      </c>
      <c r="M76" s="218" t="n">
        <v>34165560</v>
      </c>
    </row>
    <row r="77">
      <c r="C77" s="225" t="inlineStr">
        <is>
          <t>인구(명): 65세 이상</t>
        </is>
      </c>
      <c r="D77" s="207" t="inlineStr">
        <is>
          <t>명</t>
        </is>
      </c>
      <c r="E77" s="218" t="n">
        <v>8981133</v>
      </c>
      <c r="F77" s="218" t="n">
        <v>9435816</v>
      </c>
      <c r="G77" s="218" t="n">
        <v>9938235</v>
      </c>
      <c r="H77" s="218" t="n">
        <v>10513907</v>
      </c>
      <c r="I77" s="218" t="n">
        <v>11125016</v>
      </c>
      <c r="J77" s="218" t="n">
        <v>11597067</v>
      </c>
      <c r="K77" s="218" t="n">
        <v>12125349</v>
      </c>
      <c r="L77" s="218" t="n">
        <v>12521322</v>
      </c>
      <c r="M77" s="218" t="n">
        <v>12980219</v>
      </c>
    </row>
    <row r="78">
      <c r="C78" s="329" t="n"/>
      <c r="D78" s="211" t="n"/>
      <c r="E78" s="211" t="n"/>
      <c r="F78" s="211" t="n"/>
    </row>
    <row r="79">
      <c r="A79" s="237" t="inlineStr">
        <is>
          <t>x</t>
        </is>
      </c>
      <c r="B79" s="202" t="inlineStr">
        <is>
          <t>장애인구 현황</t>
        </is>
      </c>
      <c r="C79" s="329" t="n"/>
      <c r="D79" s="211" t="n"/>
      <c r="E79" s="211" t="n"/>
      <c r="F79" s="211" t="n"/>
    </row>
    <row r="80">
      <c r="C80" s="205" t="inlineStr">
        <is>
          <t>구분</t>
        </is>
      </c>
      <c r="D80" s="205" t="inlineStr">
        <is>
          <t>Unit</t>
        </is>
      </c>
      <c r="E80" s="205" t="n">
        <v>2023</v>
      </c>
      <c r="F80" s="205">
        <f>+E80+1</f>
        <v/>
      </c>
      <c r="G80" s="205">
        <f>+F80+1</f>
        <v/>
      </c>
    </row>
    <row r="81">
      <c r="C81" s="221" t="inlineStr">
        <is>
          <t>장애인 인구</t>
        </is>
      </c>
      <c r="D81" s="222" t="inlineStr">
        <is>
          <t>명</t>
        </is>
      </c>
      <c r="E81" s="223">
        <f>+E82+E83+E84</f>
        <v/>
      </c>
      <c r="F81" s="223">
        <f>+F82+F83+F84</f>
        <v/>
      </c>
      <c r="G81" s="223">
        <f>+G82+G83+G84</f>
        <v/>
      </c>
    </row>
    <row r="82">
      <c r="C82" s="225" t="inlineStr">
        <is>
          <t>장애인 인구(명): 0-14세</t>
        </is>
      </c>
      <c r="D82" s="207" t="inlineStr">
        <is>
          <t>명</t>
        </is>
      </c>
      <c r="E82" s="218" t="n">
        <v>65992</v>
      </c>
      <c r="F82" s="218" t="n">
        <v>68982</v>
      </c>
      <c r="G82" s="218" t="n">
        <v>70096</v>
      </c>
    </row>
    <row r="83">
      <c r="C83" s="225" t="inlineStr">
        <is>
          <t>장애인 인구(명): 15-64세</t>
        </is>
      </c>
      <c r="D83" s="207" t="inlineStr">
        <is>
          <t>명</t>
        </is>
      </c>
      <c r="E83" s="218" t="n">
        <v>1127011</v>
      </c>
      <c r="F83" s="218" t="n">
        <v>1102420</v>
      </c>
      <c r="G83" s="218" t="n">
        <v>1056746</v>
      </c>
    </row>
    <row r="84">
      <c r="C84" s="225" t="inlineStr">
        <is>
          <t>장애인 인구(명): 65세 이상</t>
        </is>
      </c>
      <c r="D84" s="207" t="inlineStr">
        <is>
          <t>명</t>
        </is>
      </c>
      <c r="E84" s="218" t="n">
        <v>1393021</v>
      </c>
      <c r="F84" s="218" t="n">
        <v>1435816</v>
      </c>
      <c r="G84" s="218" t="n">
        <v>1476946</v>
      </c>
    </row>
    <row r="85">
      <c r="C85" s="330" t="n"/>
      <c r="D85" s="211" t="n"/>
      <c r="E85" s="331" t="n"/>
      <c r="F85" s="331" t="n"/>
      <c r="G85" s="331" t="n"/>
      <c r="H85" s="331" t="n"/>
    </row>
    <row r="86">
      <c r="A86" s="237" t="inlineStr">
        <is>
          <t>x</t>
        </is>
      </c>
      <c r="B86" s="202" t="inlineStr">
        <is>
          <t>업무 간 근골격계 질병자 수</t>
        </is>
      </c>
      <c r="C86" s="330" t="n"/>
      <c r="D86" s="211" t="n"/>
      <c r="E86" s="331" t="n"/>
      <c r="F86" s="331" t="n"/>
      <c r="G86" s="331" t="n"/>
      <c r="H86" s="331" t="n"/>
    </row>
    <row r="87">
      <c r="C87" s="205" t="inlineStr">
        <is>
          <t>구분</t>
        </is>
      </c>
      <c r="D87" s="205" t="inlineStr">
        <is>
          <t>Unit</t>
        </is>
      </c>
      <c r="E87" s="205" t="n">
        <v>2018</v>
      </c>
      <c r="F87" s="205">
        <f>+E87+2</f>
        <v/>
      </c>
      <c r="G87" s="205">
        <f>+F87+2</f>
        <v/>
      </c>
      <c r="H87" s="205">
        <f>+G87+2</f>
        <v/>
      </c>
    </row>
    <row r="88">
      <c r="C88" s="221" t="inlineStr">
        <is>
          <t xml:space="preserve">업무 간 근골격계 질병자 수 </t>
        </is>
      </c>
      <c r="D88" s="222" t="inlineStr">
        <is>
          <t>명</t>
        </is>
      </c>
      <c r="E88" s="223" t="n">
        <v>6715</v>
      </c>
      <c r="F88" s="223" t="n">
        <v>9601</v>
      </c>
      <c r="G88" s="223" t="n">
        <v>11945</v>
      </c>
      <c r="H88" s="223">
        <f>9917+3124+3003+223</f>
        <v/>
      </c>
    </row>
    <row r="89">
      <c r="C89" s="330" t="n"/>
      <c r="D89" s="211" t="n"/>
      <c r="E89" s="331" t="n"/>
      <c r="F89" s="331" t="n"/>
      <c r="G89" s="331" t="n"/>
      <c r="H89" s="331" t="n"/>
    </row>
    <row r="90">
      <c r="C90" s="330" t="n"/>
      <c r="D90" s="211" t="n"/>
      <c r="E90" s="331" t="n"/>
      <c r="F90" s="331" t="n"/>
      <c r="G90" s="331" t="n"/>
      <c r="H90" s="331" t="n"/>
    </row>
    <row r="91">
      <c r="C91" s="330" t="n"/>
      <c r="D91" s="211" t="n"/>
      <c r="E91" s="331" t="n"/>
      <c r="F91" s="331" t="n"/>
      <c r="G91" s="331" t="n"/>
      <c r="H91" s="331" t="n"/>
    </row>
    <row r="92">
      <c r="C92" s="330" t="n"/>
      <c r="D92" s="211" t="n"/>
      <c r="E92" s="331" t="n"/>
      <c r="F92" s="331" t="n"/>
      <c r="G92" s="331" t="n"/>
      <c r="H92" s="331" t="n"/>
    </row>
    <row r="93">
      <c r="C93" s="330" t="n"/>
      <c r="D93" s="211" t="n"/>
      <c r="E93" s="331" t="n"/>
      <c r="F93" s="331" t="n"/>
      <c r="G93" s="331" t="n"/>
      <c r="H93" s="331" t="n"/>
    </row>
    <row r="94">
      <c r="C94" s="330" t="n"/>
      <c r="D94" s="211" t="n"/>
      <c r="E94" s="331" t="n"/>
      <c r="F94" s="331" t="n"/>
      <c r="G94" s="331" t="n"/>
      <c r="H94" s="331" t="n"/>
    </row>
    <row r="95">
      <c r="C95" s="330" t="n"/>
      <c r="D95" s="211" t="n"/>
      <c r="E95" s="331" t="n"/>
      <c r="F95" s="331" t="n"/>
      <c r="G95" s="331" t="n"/>
      <c r="H95" s="331" t="n"/>
    </row>
    <row r="96">
      <c r="C96" s="330" t="n"/>
      <c r="D96" s="211" t="n"/>
      <c r="E96" s="331" t="n"/>
      <c r="F96" s="331" t="n"/>
      <c r="G96" s="331" t="n"/>
      <c r="H96" s="331" t="n"/>
    </row>
    <row r="97">
      <c r="C97" s="330" t="n"/>
      <c r="D97" s="211" t="n"/>
      <c r="E97" s="331" t="n"/>
      <c r="F97" s="331" t="n"/>
      <c r="G97" s="331" t="n"/>
      <c r="H97" s="331" t="n"/>
    </row>
    <row r="98">
      <c r="C98" s="330" t="n"/>
      <c r="D98" s="211" t="n"/>
      <c r="E98" s="331" t="n"/>
      <c r="F98" s="331" t="n"/>
      <c r="G98" s="331" t="n"/>
      <c r="H98" s="331" t="n"/>
    </row>
    <row r="99">
      <c r="C99" s="330" t="n"/>
      <c r="D99" s="211" t="n"/>
      <c r="E99" s="331" t="n"/>
      <c r="F99" s="331" t="n"/>
      <c r="G99" s="331" t="n"/>
      <c r="H99" s="331" t="n"/>
    </row>
    <row r="100">
      <c r="C100" s="330" t="n"/>
      <c r="D100" s="211" t="n"/>
      <c r="E100" s="331" t="n"/>
      <c r="F100" s="331" t="n"/>
      <c r="G100" s="331" t="n"/>
      <c r="H100" s="331" t="n"/>
    </row>
    <row r="101">
      <c r="A101" s="237" t="inlineStr">
        <is>
          <t>x</t>
        </is>
      </c>
      <c r="B101" s="202" t="inlineStr">
        <is>
          <t>뇌성마비 환자 수</t>
        </is>
      </c>
      <c r="O101" s="237" t="inlineStr">
        <is>
          <t>보건의료빅데이터개방시스템</t>
        </is>
      </c>
    </row>
    <row r="102">
      <c r="C102" s="205" t="inlineStr">
        <is>
          <t>구분</t>
        </is>
      </c>
      <c r="D102" s="205" t="inlineStr">
        <is>
          <t>Unit</t>
        </is>
      </c>
      <c r="E102" s="205" t="n">
        <v>2021</v>
      </c>
      <c r="F102" s="205">
        <f>+E102+1</f>
        <v/>
      </c>
      <c r="G102" s="205">
        <f>+F102+1</f>
        <v/>
      </c>
      <c r="H102" s="205">
        <f>+G102+1</f>
        <v/>
      </c>
      <c r="I102" s="205">
        <f>+H102+1</f>
        <v/>
      </c>
      <c r="O102" s="237" t="inlineStr">
        <is>
          <t>https://opendata.hira.or.kr/op/opc/olap3thDsInfoTab3.do</t>
        </is>
      </c>
    </row>
    <row r="103">
      <c r="C103" s="221" t="inlineStr">
        <is>
          <t>합계</t>
        </is>
      </c>
      <c r="D103" s="222" t="inlineStr">
        <is>
          <t>명</t>
        </is>
      </c>
      <c r="E103" s="223" t="n">
        <v>10861</v>
      </c>
      <c r="F103" s="223" t="n">
        <v>10722</v>
      </c>
      <c r="G103" s="223" t="n">
        <v>10956</v>
      </c>
      <c r="H103" s="223" t="n">
        <v>10598</v>
      </c>
      <c r="I103" s="223" t="n">
        <v>10138</v>
      </c>
    </row>
    <row r="104">
      <c r="C104" s="225" t="inlineStr">
        <is>
          <t>0_9세</t>
        </is>
      </c>
      <c r="D104" s="207" t="inlineStr">
        <is>
          <t>명</t>
        </is>
      </c>
      <c r="E104" s="218" t="n">
        <v>4201</v>
      </c>
      <c r="F104" s="218" t="n">
        <v>3963</v>
      </c>
      <c r="G104" s="218" t="n">
        <v>3853</v>
      </c>
      <c r="H104" s="218" t="n">
        <v>3516</v>
      </c>
      <c r="I104" s="218" t="n">
        <v>3193</v>
      </c>
    </row>
    <row r="105">
      <c r="C105" s="225" t="inlineStr">
        <is>
          <t>10_19세</t>
        </is>
      </c>
      <c r="D105" s="207" t="inlineStr">
        <is>
          <t>명</t>
        </is>
      </c>
      <c r="E105" s="218" t="n">
        <v>3775</v>
      </c>
      <c r="F105" s="218" t="n">
        <v>3766</v>
      </c>
      <c r="G105" s="218" t="n">
        <v>3955</v>
      </c>
      <c r="H105" s="218" t="n">
        <v>3903</v>
      </c>
      <c r="I105" s="218" t="n">
        <v>3876</v>
      </c>
    </row>
    <row r="106">
      <c r="C106" s="225" t="inlineStr">
        <is>
          <t>20_29세</t>
        </is>
      </c>
      <c r="D106" s="207" t="inlineStr">
        <is>
          <t>명</t>
        </is>
      </c>
      <c r="E106" s="218" t="n">
        <v>1574</v>
      </c>
      <c r="F106" s="218" t="n">
        <v>1637</v>
      </c>
      <c r="G106" s="218" t="n">
        <v>1726</v>
      </c>
      <c r="H106" s="218" t="n">
        <v>1729</v>
      </c>
      <c r="I106" s="218" t="n">
        <v>1662</v>
      </c>
    </row>
    <row r="107">
      <c r="C107" s="225" t="inlineStr">
        <is>
          <t>30_39세</t>
        </is>
      </c>
      <c r="D107" s="207" t="inlineStr">
        <is>
          <t>명</t>
        </is>
      </c>
      <c r="E107" s="218" t="n">
        <v>648</v>
      </c>
      <c r="F107" s="218" t="n">
        <v>654</v>
      </c>
      <c r="G107" s="218" t="n">
        <v>709</v>
      </c>
      <c r="H107" s="218" t="n">
        <v>710</v>
      </c>
      <c r="I107" s="218" t="n">
        <v>715</v>
      </c>
    </row>
    <row r="108">
      <c r="C108" s="225" t="inlineStr">
        <is>
          <t>40_49세</t>
        </is>
      </c>
      <c r="D108" s="207" t="inlineStr">
        <is>
          <t>명</t>
        </is>
      </c>
      <c r="E108" s="218" t="n">
        <v>511</v>
      </c>
      <c r="F108" s="218" t="n">
        <v>548</v>
      </c>
      <c r="G108" s="218" t="n">
        <v>583</v>
      </c>
      <c r="H108" s="218" t="n">
        <v>548</v>
      </c>
      <c r="I108" s="218" t="n">
        <v>516</v>
      </c>
    </row>
    <row r="109">
      <c r="C109" s="225" t="inlineStr">
        <is>
          <t>50_59세</t>
        </is>
      </c>
      <c r="D109" s="207" t="inlineStr">
        <is>
          <t>명</t>
        </is>
      </c>
      <c r="E109" s="218" t="n">
        <v>359</v>
      </c>
      <c r="F109" s="218" t="n">
        <v>353</v>
      </c>
      <c r="G109" s="218" t="n">
        <v>361</v>
      </c>
      <c r="H109" s="218" t="n">
        <v>376</v>
      </c>
      <c r="I109" s="218" t="n">
        <v>365</v>
      </c>
    </row>
    <row r="110">
      <c r="C110" s="225" t="inlineStr">
        <is>
          <t>60_69세</t>
        </is>
      </c>
      <c r="D110" s="207" t="inlineStr">
        <is>
          <t>명</t>
        </is>
      </c>
      <c r="E110" s="218" t="n">
        <v>199</v>
      </c>
      <c r="F110" s="218" t="n">
        <v>203</v>
      </c>
      <c r="G110" s="218" t="n">
        <v>206</v>
      </c>
      <c r="H110" s="218" t="n">
        <v>213</v>
      </c>
      <c r="I110" s="218" t="n">
        <v>215</v>
      </c>
    </row>
    <row r="111">
      <c r="C111" s="225" t="inlineStr">
        <is>
          <t>70_79세</t>
        </is>
      </c>
      <c r="D111" s="207" t="inlineStr">
        <is>
          <t>명</t>
        </is>
      </c>
      <c r="E111" s="218" t="n">
        <v>92</v>
      </c>
      <c r="F111" s="218" t="n">
        <v>89</v>
      </c>
      <c r="G111" s="218" t="n">
        <v>87</v>
      </c>
      <c r="H111" s="218" t="n">
        <v>100</v>
      </c>
      <c r="I111" s="218" t="n">
        <v>100</v>
      </c>
    </row>
    <row r="112">
      <c r="C112" s="225" t="inlineStr">
        <is>
          <t>80세이상</t>
        </is>
      </c>
      <c r="D112" s="207" t="inlineStr">
        <is>
          <t>명</t>
        </is>
      </c>
      <c r="E112" s="218" t="n">
        <v>34</v>
      </c>
      <c r="F112" s="218" t="n">
        <v>33</v>
      </c>
      <c r="G112" s="218" t="n">
        <v>40</v>
      </c>
      <c r="H112" s="218" t="n">
        <v>44</v>
      </c>
      <c r="I112" s="218" t="n">
        <v>34</v>
      </c>
    </row>
    <row r="114">
      <c r="A114" s="414" t="inlineStr">
        <is>
          <t>x</t>
        </is>
      </c>
      <c r="B114" s="415" t="inlineStr">
        <is>
          <t>수가 체계 ① 제도 연혁 및 급여기준</t>
        </is>
      </c>
      <c r="C114" s="416" t="n"/>
      <c r="D114" s="417" t="n"/>
      <c r="E114" s="417" t="n"/>
      <c r="F114" s="417" t="n"/>
      <c r="G114" s="417" t="n"/>
      <c r="H114" s="417" t="n"/>
      <c r="I114" s="417" t="n"/>
      <c r="J114" s="417" t="n"/>
      <c r="K114" s="417" t="n"/>
      <c r="L114" s="417" t="n"/>
      <c r="M114" s="417" t="n"/>
      <c r="N114" s="417" t="n"/>
      <c r="O114" s="418" t="inlineStr">
        <is>
          <t>https://www.yna.co.kr/view/AKR20260729120300530</t>
        </is>
      </c>
    </row>
    <row r="115">
      <c r="A115" s="417" t="n"/>
      <c r="B115" s="417" t="n"/>
      <c r="C115" s="419" t="inlineStr">
        <is>
          <t>시점</t>
        </is>
      </c>
      <c r="D115" s="420" t="inlineStr">
        <is>
          <t>내용</t>
        </is>
      </c>
      <c r="E115" s="420" t="inlineStr">
        <is>
          <t>근거</t>
        </is>
      </c>
      <c r="F115" s="421" t="n"/>
      <c r="G115" s="422" t="n"/>
      <c r="H115" s="421" t="n"/>
      <c r="I115" s="421" t="n"/>
      <c r="J115" s="421" t="n"/>
      <c r="K115" s="421" t="n"/>
      <c r="L115" s="421" t="n"/>
      <c r="M115" s="421" t="n"/>
      <c r="N115" s="417" t="n"/>
      <c r="O115" s="418" t="inlineStr">
        <is>
          <t>https://www.medicaldaily.co.kr/post/21588</t>
        </is>
      </c>
    </row>
    <row r="116">
      <c r="A116" s="417" t="n"/>
      <c r="B116" s="417" t="n"/>
      <c r="C116" s="423" t="inlineStr">
        <is>
          <t>2022.02.01</t>
        </is>
      </c>
      <c r="D116" s="424" t="inlineStr">
        <is>
          <t>선별급여 신설 — 고시 제2022-26호(행위). 분류번호 사130나 주2, 본인부담률 50%, 평가주기 5년</t>
        </is>
      </c>
      <c r="E116" s="425" t="inlineStr">
        <is>
          <t>반기보고서 인용 고시 제2022-4호 표 + 심평원 심사기준</t>
        </is>
      </c>
      <c r="F116" s="421" t="n"/>
      <c r="G116" s="422" t="n"/>
      <c r="H116" s="421" t="n"/>
      <c r="I116" s="421" t="n"/>
      <c r="J116" s="421" t="n"/>
      <c r="K116" s="421" t="n"/>
      <c r="L116" s="421" t="n"/>
      <c r="M116" s="421" t="n"/>
      <c r="N116" s="417" t="n"/>
      <c r="O116" s="418" t="inlineStr">
        <is>
          <t>https://m.hira.or.kr/mobile/rf/iac/eva/data.do?openDT=20220201&amp;seqNO=4&amp;matrSeqNo=2</t>
        </is>
      </c>
    </row>
    <row r="117">
      <c r="A117" s="417" t="n"/>
      <c r="B117" s="417" t="n"/>
      <c r="C117" s="426" t="inlineStr">
        <is>
          <t>2022.12.14</t>
        </is>
      </c>
      <c r="D117" s="424" t="inlineStr">
        <is>
          <t>엔젤렉스 M20, 웨어러블 로봇 최초 의료기기 3등급 품목허가 → MM304 실제 적용 개시</t>
        </is>
      </c>
      <c r="E117" s="425" t="inlineStr">
        <is>
          <t>반기보고서 연혁 + 인증현황 No.5 (09번 시트)</t>
        </is>
      </c>
      <c r="F117" s="421" t="n"/>
      <c r="G117" s="422" t="n"/>
      <c r="H117" s="421" t="n"/>
      <c r="I117" s="421" t="n"/>
      <c r="J117" s="421" t="n"/>
      <c r="K117" s="421" t="n"/>
      <c r="L117" s="421" t="n"/>
      <c r="M117" s="421" t="n"/>
      <c r="N117" s="417" t="n"/>
      <c r="O117" s="417" t="n"/>
    </row>
    <row r="118">
      <c r="A118" s="417" t="n"/>
      <c r="B118" s="417" t="n"/>
      <c r="C118" s="427" t="inlineStr">
        <is>
          <t>2026.07.31</t>
        </is>
      </c>
      <c r="D118" s="428" t="inlineStr">
        <is>
          <t>급여대상 확대 — 복지부 고시 제2026-166호. 2022년 신설 이래 최초 확대</t>
        </is>
      </c>
      <c r="E118" s="429" t="inlineStr">
        <is>
          <t>복지부 고시 (연합뉴스·의약일보 등 보도). 반기보고서 기준일 이후 사건</t>
        </is>
      </c>
      <c r="F118" s="430" t="n"/>
      <c r="G118" s="430" t="n"/>
      <c r="H118" s="430" t="n"/>
      <c r="I118" s="430" t="n"/>
      <c r="J118" s="421" t="n"/>
      <c r="K118" s="421" t="n"/>
      <c r="L118" s="421" t="n"/>
      <c r="M118" s="421" t="n"/>
      <c r="N118" s="417" t="n"/>
      <c r="O118" s="417" t="n"/>
    </row>
    <row r="119">
      <c r="A119" s="417" t="n"/>
      <c r="B119" s="417" t="n"/>
      <c r="C119" s="431" t="n"/>
      <c r="D119" s="432" t="n"/>
      <c r="E119" s="417" t="n"/>
      <c r="F119" s="417" t="n"/>
      <c r="G119" s="432" t="n"/>
      <c r="H119" s="421" t="n"/>
      <c r="I119" s="421" t="n"/>
      <c r="J119" s="421" t="n"/>
      <c r="K119" s="421" t="n"/>
      <c r="L119" s="421" t="n"/>
      <c r="M119" s="421" t="n"/>
      <c r="N119" s="417" t="n"/>
      <c r="O119" s="417" t="n"/>
    </row>
    <row r="120">
      <c r="A120" s="417" t="n"/>
      <c r="B120" s="417" t="n"/>
      <c r="C120" s="420" t="inlineStr">
        <is>
          <t>구분</t>
        </is>
      </c>
      <c r="D120" s="420" t="inlineStr">
        <is>
          <t>종전 (2022.02 ~ 2026.07)</t>
        </is>
      </c>
      <c r="E120" s="420" t="inlineStr">
        <is>
          <t>확대 후 (2026.07.31 ~)</t>
        </is>
      </c>
      <c r="F120" s="420" t="inlineStr">
        <is>
          <t>근거</t>
        </is>
      </c>
      <c r="G120" s="432" t="n"/>
      <c r="H120" s="421" t="n"/>
      <c r="I120" s="421" t="n"/>
      <c r="J120" s="421" t="n"/>
      <c r="K120" s="421" t="n"/>
      <c r="L120" s="421" t="n"/>
      <c r="M120" s="421" t="n"/>
      <c r="N120" s="417" t="n"/>
      <c r="O120" s="417" t="n"/>
    </row>
    <row r="121">
      <c r="A121" s="417" t="n"/>
      <c r="B121" s="417" t="n"/>
      <c r="C121" s="426" t="inlineStr">
        <is>
          <t>항목명</t>
        </is>
      </c>
      <c r="D121" s="433" t="inlineStr">
        <is>
          <t>보행치료-뇌졸중 환자에서 로봇을 사용한 보행훈련</t>
        </is>
      </c>
      <c r="E121" s="424" t="inlineStr">
        <is>
          <t>보행치료-뇌졸중 및 18세 이하 뇌성마비 등 중추신경계 질환 환자에 있어서 로봇을 사용한 보행훈련</t>
        </is>
      </c>
      <c r="F121" s="425" t="inlineStr">
        <is>
          <t>복지부 고시 제2026-166호</t>
        </is>
      </c>
      <c r="G121" s="432" t="n"/>
      <c r="H121" s="421" t="n"/>
      <c r="I121" s="421" t="n"/>
      <c r="J121" s="421" t="n"/>
      <c r="K121" s="421" t="n"/>
      <c r="L121" s="421" t="n"/>
      <c r="M121" s="421" t="n"/>
      <c r="N121" s="417" t="n"/>
      <c r="O121" s="417" t="n"/>
    </row>
    <row r="122">
      <c r="A122" s="417" t="n"/>
      <c r="B122" s="417" t="n"/>
      <c r="C122" s="426" t="inlineStr">
        <is>
          <t>대상 질환</t>
        </is>
      </c>
      <c r="D122" s="433" t="inlineStr">
        <is>
          <t>뇌졸중 (I60~I64)</t>
        </is>
      </c>
      <c r="E122" s="424" t="inlineStr">
        <is>
          <t>좌동 + 18세 이하 뇌성마비 등 중추신경계 질환</t>
        </is>
      </c>
      <c r="F122" s="425" t="inlineStr">
        <is>
          <t>심평원 심사기준 / 복지부 고시</t>
        </is>
      </c>
      <c r="G122" s="432" t="n"/>
      <c r="H122" s="421" t="n"/>
      <c r="I122" s="421" t="n"/>
      <c r="J122" s="421" t="n"/>
      <c r="K122" s="421" t="n"/>
      <c r="L122" s="421" t="n"/>
      <c r="M122" s="421" t="n"/>
      <c r="N122" s="417" t="n"/>
      <c r="O122" s="417" t="n"/>
    </row>
    <row r="123">
      <c r="A123" s="417" t="n"/>
      <c r="B123" s="417" t="n"/>
      <c r="C123" s="426" t="inlineStr">
        <is>
          <t>기능 요건</t>
        </is>
      </c>
      <c r="D123" s="433" t="inlineStr">
        <is>
          <t>FAC(기능적 보행지수) 2 이하</t>
        </is>
      </c>
      <c r="E123" s="424" t="inlineStr">
        <is>
          <t>뇌졸중 좌동 + 소아 GMFCS(대운동기능 분류단계) 2~4단계</t>
        </is>
      </c>
      <c r="F123" s="425" t="inlineStr">
        <is>
          <t>심평원 심사기준 / 복지부 고시</t>
        </is>
      </c>
      <c r="G123" s="432" t="n"/>
      <c r="H123" s="421" t="n"/>
      <c r="I123" s="421" t="n"/>
      <c r="J123" s="421" t="n"/>
      <c r="K123" s="421" t="n"/>
      <c r="L123" s="421" t="n"/>
      <c r="M123" s="421" t="n"/>
      <c r="N123" s="417" t="n"/>
      <c r="O123" s="417" t="n"/>
    </row>
    <row r="124">
      <c r="A124" s="417" t="n"/>
      <c r="B124" s="417" t="n"/>
      <c r="C124" s="426" t="inlineStr">
        <is>
          <t>실시 기간</t>
        </is>
      </c>
      <c r="D124" s="433" t="inlineStr">
        <is>
          <t>발병 후 6개월까지</t>
        </is>
      </c>
      <c r="E124" s="424" t="inlineStr">
        <is>
          <t>뇌졸중 좌동 / 소아는 환자 상황에 따라 적용</t>
        </is>
      </c>
      <c r="F124" s="425" t="inlineStr">
        <is>
          <t>심평원 심사기준 / 복지부 고시</t>
        </is>
      </c>
      <c r="G124" s="421" t="n"/>
      <c r="H124" s="421" t="n"/>
      <c r="I124" s="421" t="n"/>
      <c r="J124" s="421" t="n"/>
      <c r="K124" s="421" t="n"/>
      <c r="L124" s="421" t="n"/>
      <c r="M124" s="421" t="n"/>
      <c r="N124" s="417" t="n"/>
      <c r="O124" s="417" t="n"/>
    </row>
    <row r="125">
      <c r="A125" s="417" t="n"/>
      <c r="B125" s="417" t="n"/>
      <c r="C125" s="426" t="inlineStr">
        <is>
          <t>본인부담률</t>
        </is>
      </c>
      <c r="D125" s="433" t="n">
        <v>0.5</v>
      </c>
      <c r="E125" s="424" t="inlineStr">
        <is>
          <t>50% 유지</t>
        </is>
      </c>
      <c r="F125" s="425" t="inlineStr">
        <is>
          <t>복지부 고시 제2026-166호</t>
        </is>
      </c>
      <c r="G125" s="417" t="n"/>
      <c r="H125" s="417" t="n"/>
      <c r="I125" s="417" t="n"/>
      <c r="J125" s="417" t="n"/>
      <c r="K125" s="417" t="n"/>
      <c r="L125" s="417" t="n"/>
      <c r="M125" s="417" t="n"/>
      <c r="N125" s="417" t="n"/>
      <c r="O125" s="417" t="n"/>
    </row>
    <row r="126">
      <c r="A126" s="422" t="n"/>
      <c r="B126" s="416" t="n"/>
      <c r="C126" s="426" t="inlineStr">
        <is>
          <t>수가 점수</t>
        </is>
      </c>
      <c r="D126" s="433" t="inlineStr">
        <is>
          <t>MM302 177.42점 / MM304 317.87점 별도 산정</t>
        </is>
      </c>
      <c r="E126" s="424" t="inlineStr">
        <is>
          <t>(변동 확인 안 됨)</t>
        </is>
      </c>
      <c r="F126" s="425" t="inlineStr">
        <is>
          <t>반기보고서 인용 행위 급여목록 사-130</t>
        </is>
      </c>
      <c r="G126" s="417" t="n"/>
      <c r="H126" s="417" t="n"/>
      <c r="I126" s="417" t="n"/>
      <c r="J126" s="417" t="n"/>
      <c r="K126" s="417" t="n"/>
      <c r="L126" s="417" t="n"/>
      <c r="M126" s="417" t="n"/>
      <c r="N126" s="417" t="n"/>
      <c r="O126" s="417" t="n"/>
    </row>
    <row r="127">
      <c r="A127" s="417" t="n"/>
      <c r="B127" s="417" t="n"/>
      <c r="C127" s="426" t="inlineStr">
        <is>
          <t>수가 코드</t>
        </is>
      </c>
      <c r="D127" s="433" t="inlineStr">
        <is>
          <t>MM304 로봇보행재활 / MM302 보행치료 / EZ774 동작분석</t>
        </is>
      </c>
      <c r="E127" s="424" t="inlineStr">
        <is>
          <t>좌동</t>
        </is>
      </c>
      <c r="F127" s="425" t="inlineStr">
        <is>
          <t>MM302·MM304 반기보고서 / EZ774는 한국IR협의회 도표 (2차)</t>
        </is>
      </c>
      <c r="G127" s="417" t="n"/>
      <c r="H127" s="417" t="n"/>
      <c r="I127" s="417" t="n"/>
      <c r="J127" s="417" t="n"/>
      <c r="K127" s="417" t="n"/>
      <c r="L127" s="417" t="n"/>
      <c r="M127" s="417" t="n"/>
      <c r="N127" s="417" t="n"/>
      <c r="O127" s="417" t="n"/>
    </row>
    <row r="128" ht="40.5" customHeight="1" s="276">
      <c r="A128" s="417" t="n"/>
      <c r="B128" s="417" t="n"/>
      <c r="C128" s="434" t="n"/>
      <c r="D128" s="421" t="n"/>
      <c r="E128" s="421" t="n"/>
      <c r="F128" s="421" t="n"/>
      <c r="G128" s="417" t="n"/>
      <c r="H128" s="417" t="n"/>
      <c r="I128" s="417" t="n"/>
      <c r="J128" s="417" t="n"/>
      <c r="K128" s="417" t="n"/>
      <c r="L128" s="417" t="n"/>
      <c r="M128" s="417" t="n"/>
      <c r="N128" s="417" t="n"/>
      <c r="O128" s="417" t="n"/>
    </row>
    <row r="129">
      <c r="A129" s="417" t="n"/>
      <c r="B129" s="417" t="n"/>
      <c r="C129" s="434" t="n"/>
      <c r="D129" s="421" t="n"/>
      <c r="E129" s="421" t="n"/>
      <c r="F129" s="421" t="n"/>
      <c r="G129" s="417" t="n"/>
      <c r="H129" s="417" t="n"/>
      <c r="I129" s="417" t="n"/>
      <c r="J129" s="417" t="n"/>
      <c r="K129" s="417" t="n"/>
      <c r="L129" s="417" t="n"/>
      <c r="M129" s="417" t="n"/>
      <c r="N129" s="417" t="n"/>
      <c r="O129" s="417" t="n"/>
    </row>
    <row r="130">
      <c r="A130" s="414" t="inlineStr">
        <is>
          <t>x</t>
        </is>
      </c>
      <c r="B130" s="415" t="inlineStr">
        <is>
          <t>수가 체계 ② 확대의 근거·함의·리스크</t>
        </is>
      </c>
      <c r="C130" s="434" t="n"/>
      <c r="D130" s="421" t="n"/>
      <c r="E130" s="421" t="n"/>
      <c r="F130" s="421" t="n"/>
      <c r="G130" s="417" t="n"/>
      <c r="H130" s="417" t="n"/>
      <c r="I130" s="417" t="n"/>
      <c r="J130" s="417" t="n"/>
      <c r="K130" s="417" t="n"/>
      <c r="L130" s="417" t="n"/>
      <c r="M130" s="417" t="n"/>
      <c r="N130" s="417" t="n"/>
      <c r="O130" s="417" t="n"/>
    </row>
    <row r="131">
      <c r="A131" s="417" t="n"/>
      <c r="B131" s="417" t="n"/>
      <c r="C131" s="420" t="inlineStr">
        <is>
          <t>구분</t>
        </is>
      </c>
      <c r="D131" s="420" t="inlineStr">
        <is>
          <t>내용</t>
        </is>
      </c>
      <c r="E131" s="420" t="inlineStr">
        <is>
          <t>근거</t>
        </is>
      </c>
      <c r="F131" s="421" t="n"/>
      <c r="G131" s="417" t="n"/>
      <c r="H131" s="417" t="n"/>
      <c r="I131" s="417" t="n"/>
      <c r="J131" s="417" t="n"/>
      <c r="K131" s="417" t="n"/>
      <c r="L131" s="417" t="n"/>
      <c r="M131" s="417" t="n"/>
      <c r="N131" s="417" t="n"/>
      <c r="O131" s="417" t="n"/>
    </row>
    <row r="132" ht="27" customHeight="1" s="276">
      <c r="A132" s="417" t="n"/>
      <c r="B132" s="417" t="n"/>
      <c r="C132" s="427" t="inlineStr">
        <is>
          <t>임상 근거</t>
        </is>
      </c>
      <c r="D132" s="424" t="inlineStr">
        <is>
          <t>2024년 뇌성마비 아동 90명 RCT에서 로봇보조 보행훈련군이 대조군 대비 대운동기능·균형조절·보행패턴 유의미 향상. 동사가 5개 의료기관과 수행해 JAMA Network Open에 게재한 논문이 급여 확대의 근거로 인용됨</t>
        </is>
      </c>
      <c r="E132" s="425" t="inlineStr">
        <is>
          <t>반기보고서 연혁·사업의 내용 + 급여 확대 보도</t>
        </is>
      </c>
      <c r="F132" s="421" t="n"/>
      <c r="G132" s="417" t="n"/>
      <c r="H132" s="417" t="n"/>
      <c r="I132" s="417" t="n"/>
      <c r="J132" s="417" t="n"/>
      <c r="K132" s="417" t="n"/>
      <c r="L132" s="417" t="n"/>
      <c r="M132" s="417" t="n"/>
      <c r="N132" s="417" t="n"/>
      <c r="O132" s="417" t="n"/>
    </row>
    <row r="133" ht="27" customHeight="1" s="276">
      <c r="A133" s="417" t="n"/>
      <c r="B133" s="417" t="n"/>
      <c r="C133" s="426" t="inlineStr">
        <is>
          <t>수요 모수</t>
        </is>
      </c>
      <c r="D133" s="424" t="inlineStr">
        <is>
          <t>소아 뇌성마비 환자 약 8만명이 급여권으로 편입 (단, 심평원 진료인원 기준과 모수 상이 — 위 주석 참조)</t>
        </is>
      </c>
      <c r="E133" s="425" t="inlineStr">
        <is>
          <t>엔젤로보틱스 IR Book / 유진투자증권 (2차, 2024년 기준)</t>
        </is>
      </c>
      <c r="F133" s="421" t="n"/>
      <c r="G133" s="417" t="n"/>
      <c r="H133" s="417" t="n"/>
      <c r="I133" s="417" t="n"/>
      <c r="J133" s="417" t="n"/>
      <c r="K133" s="417" t="n"/>
      <c r="L133" s="417" t="n"/>
      <c r="M133" s="417" t="n"/>
      <c r="N133" s="417" t="n"/>
      <c r="O133" s="417" t="n"/>
    </row>
    <row r="134">
      <c r="A134" s="417" t="n"/>
      <c r="B134" s="417" t="n"/>
      <c r="C134" s="435" t="inlineStr">
        <is>
          <t>경쟁 영향</t>
        </is>
      </c>
      <c r="D134" s="424" t="inlineStr">
        <is>
          <t>코스모로보틱스 '밤비니 틴즈 프로'도 동일 급여 확대의 수혜 대상. 동사 단독 호재가 아님</t>
        </is>
      </c>
      <c r="E134" s="425" t="inlineStr">
        <is>
          <t>로봇신문(2026) — 인용 시 원문 확인 필요</t>
        </is>
      </c>
      <c r="F134" s="421" t="n"/>
      <c r="G134" s="417" t="n"/>
      <c r="H134" s="417" t="n"/>
      <c r="I134" s="417" t="n"/>
      <c r="J134" s="417" t="n"/>
      <c r="K134" s="417" t="n"/>
      <c r="L134" s="417" t="n"/>
      <c r="M134" s="417" t="n"/>
      <c r="N134" s="417" t="n"/>
      <c r="O134" s="418" t="n"/>
    </row>
    <row r="135">
      <c r="A135" s="417" t="n"/>
      <c r="B135" s="436" t="n"/>
      <c r="C135" s="426" t="inlineStr">
        <is>
          <t>향후 적응증</t>
        </is>
      </c>
      <c r="D135" s="424" t="inlineStr">
        <is>
          <t>뇌졸중 외 척수손상·파킨슨병·뇌종양 등 치료효과성 입증 시 수가화 추진 방침 (구체 일정·대상 미확정)</t>
        </is>
      </c>
      <c r="E135" s="425" t="inlineStr">
        <is>
          <t>한국IR협의회(2024.09.26) + 언론 보도</t>
        </is>
      </c>
      <c r="F135" s="417" t="n"/>
      <c r="G135" s="417" t="n"/>
      <c r="H135" s="417" t="n"/>
      <c r="I135" s="417" t="n"/>
      <c r="J135" s="417" t="n"/>
      <c r="K135" s="417" t="n"/>
      <c r="L135" s="417" t="n"/>
      <c r="M135" s="417" t="n"/>
      <c r="N135" s="417" t="n"/>
      <c r="O135" s="417" t="n"/>
    </row>
    <row r="136">
      <c r="A136" s="417" t="n"/>
      <c r="B136" s="417" t="n"/>
      <c r="C136" s="435" t="inlineStr">
        <is>
          <t>재평가 리스크</t>
        </is>
      </c>
      <c r="D136" s="424" t="inlineStr">
        <is>
          <t>선별급여 평가주기 5년 → 2022.02 신설 기준 2027년 적합성 재평가 도래 추정. 결과에 따라 급여 지속·본인부담률 조정 가능</t>
        </is>
      </c>
      <c r="E136" s="425" t="inlineStr">
        <is>
          <t>평가주기 5년은 고시 확인. 2027년 도래는 추정이며 일정 자체 미확인</t>
        </is>
      </c>
      <c r="F136" s="417" t="n"/>
      <c r="G136" s="417" t="n"/>
      <c r="H136" s="417" t="n"/>
      <c r="I136" s="417" t="n"/>
      <c r="J136" s="417" t="n"/>
      <c r="K136" s="417" t="n"/>
      <c r="L136" s="417" t="n"/>
      <c r="M136" s="417" t="n"/>
      <c r="N136" s="417" t="n"/>
      <c r="O136" s="417" t="n"/>
    </row>
    <row r="137">
      <c r="A137" s="417" t="n"/>
      <c r="B137" s="417" t="n"/>
      <c r="C137" s="435" t="inlineStr">
        <is>
          <t>산업 특성</t>
        </is>
      </c>
      <c r="D137" s="424" t="inlineStr">
        <is>
          <t>국산 재활로봇 다수가 신의료기술평가 '기존기술' 판정으로 별도 수가 미확보 → 환자 전액 부담으로 고가 장비 판매 곤란</t>
        </is>
      </c>
      <c r="E137" s="425" t="inlineStr">
        <is>
          <t>웹 리서치 기반. 공시·리포트 근거 없음 — NECA 공고 확인 필요</t>
        </is>
      </c>
      <c r="F137" s="417" t="n"/>
      <c r="G137" s="417" t="n"/>
      <c r="H137" s="417" t="n"/>
      <c r="I137" s="417" t="n"/>
      <c r="J137" s="417" t="n"/>
      <c r="K137" s="417" t="n"/>
      <c r="L137" s="417" t="n"/>
      <c r="M137" s="417" t="n"/>
      <c r="N137" s="417" t="n"/>
      <c r="O137" s="418" t="inlineStr">
        <is>
          <t>https://www.rapportian.com/news/articleView.html?idxno=203692</t>
        </is>
      </c>
    </row>
    <row r="138">
      <c r="A138" s="417" t="n"/>
      <c r="B138" s="417" t="n"/>
      <c r="C138" s="426" t="inlineStr">
        <is>
          <t>상반된 흐름</t>
        </is>
      </c>
      <c r="D138" s="424" t="inlineStr">
        <is>
          <t>'스마트 안전장비 보급확산' 등 정부 보급사업 보조금 감소로 angel GEAR B2G 시장 축소</t>
        </is>
      </c>
      <c r="E138" s="425" t="inlineStr">
        <is>
          <t>반기보고서 「예측치 대비 실적 비교」 괴리사유 (2025·2026 반기 모두)</t>
        </is>
      </c>
      <c r="F138" s="417" t="n"/>
      <c r="G138" s="417" t="n"/>
      <c r="H138" s="417" t="n"/>
      <c r="I138" s="417" t="n"/>
      <c r="J138" s="417" t="n"/>
      <c r="K138" s="417" t="n"/>
      <c r="L138" s="417" t="n"/>
      <c r="M138" s="417" t="n"/>
      <c r="N138" s="417" t="n"/>
      <c r="O138" s="417" t="n"/>
    </row>
    <row r="139">
      <c r="A139" s="417" t="n"/>
      <c r="B139" s="417" t="n"/>
      <c r="C139" s="437" t="inlineStr">
        <is>
          <t>■ 초록 = 반기보고서 기준일 이후 신규 확보 / 붉은 = 1차 근거 미확보 또는 추정. 외부 배포 IM 인용 전 원문 대조 필요</t>
        </is>
      </c>
      <c r="D139" s="417" t="n"/>
      <c r="E139" s="417" t="n"/>
      <c r="F139" s="417" t="n"/>
      <c r="G139" s="417" t="n"/>
      <c r="H139" s="417" t="n"/>
      <c r="I139" s="417" t="n"/>
      <c r="J139" s="417" t="n"/>
      <c r="K139" s="417" t="n"/>
      <c r="L139" s="417" t="n"/>
      <c r="M139" s="417" t="n"/>
      <c r="N139" s="417" t="n"/>
      <c r="O139" s="417" t="n"/>
    </row>
    <row r="140">
      <c r="A140" s="417" t="n"/>
      <c r="B140" s="417" t="n"/>
      <c r="C140" s="417" t="n"/>
      <c r="D140" s="417" t="n"/>
      <c r="E140" s="417" t="n"/>
      <c r="F140" s="417" t="n"/>
      <c r="G140" s="417" t="n"/>
      <c r="H140" s="417" t="n"/>
      <c r="I140" s="417" t="n"/>
      <c r="J140" s="417" t="n"/>
      <c r="K140" s="417" t="n"/>
      <c r="L140" s="417" t="n"/>
      <c r="M140" s="417" t="n"/>
      <c r="N140" s="417" t="n"/>
      <c r="O140" s="417" t="n"/>
    </row>
    <row r="142">
      <c r="A142" s="438" t="inlineStr">
        <is>
          <t>x</t>
        </is>
      </c>
      <c r="B142" s="439" t="inlineStr">
        <is>
          <t>국내외 경쟁사</t>
        </is>
      </c>
      <c r="O142" s="412" t="inlineStr">
        <is>
          <t>https://www.newswell.co.kr/news/articleView.html?idxno=18545</t>
        </is>
      </c>
    </row>
    <row r="143">
      <c r="C143" s="420" t="inlineStr">
        <is>
          <t>구분</t>
        </is>
      </c>
      <c r="D143" s="420" t="inlineStr">
        <is>
          <t>기업</t>
        </is>
      </c>
      <c r="E143" s="420" t="inlineStr">
        <is>
          <t>설립 / 상장</t>
        </is>
      </c>
      <c r="F143" s="420" t="inlineStr">
        <is>
          <t>비고</t>
        </is>
      </c>
    </row>
    <row r="144">
      <c r="C144" s="427" t="inlineStr">
        <is>
          <t>국내 상장</t>
        </is>
      </c>
      <c r="D144" s="424" t="inlineStr">
        <is>
          <t>코스모로보틱스</t>
        </is>
      </c>
      <c r="E144" s="424" t="inlineStr">
        <is>
          <t>2016년 설립 / 2026.05.11 상장</t>
        </is>
      </c>
      <c r="F144" s="424" t="inlineStr">
        <is>
          <t>뇌졸중·뇌성마비·척수손상 보행재활 웨어러블 로봇. 공모가 6,000원, 상장 후 3거래일 연속 상한가, 시가총액 1.3조원 상회. 일반청약 경쟁률 2,013.8:1(증거금 6.3조원), 공모자금 약 250억원. 밤비니 틴즈 프로가 2026.07 급여 확대 수혜</t>
        </is>
      </c>
    </row>
    <row r="145">
      <c r="C145" s="426" t="inlineStr">
        <is>
          <t>국내 상장</t>
        </is>
      </c>
      <c r="D145" s="424" t="inlineStr">
        <is>
          <t>피앤에스로보틱스 (460940)</t>
        </is>
      </c>
      <c r="E145" s="424" t="inlineStr">
        <is>
          <t>2003년 설립 / 2024.07 상장</t>
        </is>
      </c>
      <c r="F145" s="424" t="inlineStr">
        <is>
          <t>보행재활훈련 로봇 Walkbot — 트레드밀 기반 고정형, 해외매출 비중 높아 동사와 제품 형태·시장 상이</t>
        </is>
      </c>
    </row>
    <row r="146">
      <c r="C146" s="426" t="inlineStr">
        <is>
          <t>국내 비상장</t>
        </is>
      </c>
      <c r="D146" s="424" t="inlineStr">
        <is>
          <t>FRT로보틱스</t>
        </is>
      </c>
      <c r="E146" s="424" t="inlineStr">
        <is>
          <t>2015년</t>
        </is>
      </c>
      <c r="F146" s="424" t="inlineStr">
        <is>
          <t>웨어러블 로봇</t>
        </is>
      </c>
    </row>
    <row r="147">
      <c r="C147" s="426" t="inlineStr">
        <is>
          <t>국내 비상장</t>
        </is>
      </c>
      <c r="D147" s="424" t="inlineStr">
        <is>
          <t>헥사휴먼케어</t>
        </is>
      </c>
      <c r="E147" s="424" t="inlineStr">
        <is>
          <t>2016년</t>
        </is>
      </c>
      <c r="F147" s="424" t="inlineStr">
        <is>
          <t>웨어러블 로봇</t>
        </is>
      </c>
    </row>
    <row r="148">
      <c r="C148" s="426" t="inlineStr">
        <is>
          <t>해외 상장</t>
        </is>
      </c>
      <c r="D148" s="424" t="inlineStr">
        <is>
          <t>라이프워드 (구 리워크, 나스닥)</t>
        </is>
      </c>
      <c r="E148" s="424" t="inlineStr">
        <is>
          <t>이스라엘</t>
        </is>
      </c>
      <c r="F148" s="424" t="inlineStr">
        <is>
          <t>2014.06 FDA 하지 외골격로봇 허가</t>
        </is>
      </c>
    </row>
    <row r="149">
      <c r="C149" s="426" t="inlineStr">
        <is>
          <t>해외 상장</t>
        </is>
      </c>
      <c r="D149" s="424" t="inlineStr">
        <is>
          <t>Ekso Bionics (나스닥)</t>
        </is>
      </c>
      <c r="E149" s="424" t="inlineStr">
        <is>
          <t>미국</t>
        </is>
      </c>
      <c r="F149" s="424" t="inlineStr">
        <is>
          <t>Ekso GT 척수손상·뇌졸중 FDA 허가</t>
        </is>
      </c>
    </row>
    <row r="150">
      <c r="C150" s="426" t="inlineStr">
        <is>
          <t>해외</t>
        </is>
      </c>
      <c r="D150" s="424" t="inlineStr">
        <is>
          <t>사이버다인</t>
        </is>
      </c>
      <c r="E150" s="424" t="inlineStr">
        <is>
          <t>일본</t>
        </is>
      </c>
      <c r="F150" s="424" t="inlineStr">
        <is>
          <t>HAL 시리즈 — 생체신호(근전도) 센서 방식, 탈의 후 피부 부착 필요</t>
        </is>
      </c>
    </row>
    <row r="151">
      <c r="C151" s="374" t="inlineStr">
        <is>
          <t>출처: 반기보고서 「경쟁 현황 및 비교우위 사항」, 한국IR협의회(2024.09.26), 리딩투자증권(2025.12.16), 코스모로보틱스 상장 보도(2026.05)</t>
        </is>
      </c>
    </row>
    <row r="152">
      <c r="C152" s="440" t="inlineStr">
        <is>
          <t>⚠ 코스모로보틱스는 2026.05 상장한 최근접 비교기업 — 11번 시트 Peer 밸류에이션(2024.09 기준)에 미반영 상태</t>
        </is>
      </c>
    </row>
    <row r="153">
      <c r="C153" s="374" t="inlineStr">
        <is>
          <t>참고) 세브란스 재활병원은 7개 재활로봇을 보유하고 보행재활을 5단계로 운영하며, 엔젤렉스는 회복이 가장 진행된 5단계에 배치 — 한국IR협의회</t>
        </is>
      </c>
    </row>
  </sheetData>
  <pageMargins left="0.75" right="0.75" top="1" bottom="1" header="0.5" footer="0.5"/>
  <pageSetup orientation="landscape" scale="30"/>
</worksheet>
</file>

<file path=xl/worksheets/sheet13.xml><?xml version="1.0" encoding="utf-8"?>
<worksheet xmlns="http://schemas.openxmlformats.org/spreadsheetml/2006/main">
  <sheetPr>
    <tabColor rgb="FF002060"/>
    <outlinePr summaryBelow="1" summaryRight="1"/>
    <pageSetUpPr/>
  </sheetPr>
  <dimension ref="A2:J42"/>
  <sheetViews>
    <sheetView showGridLines="0" workbookViewId="0">
      <pane xSplit="2" ySplit="3" topLeftCell="C4" activePane="bottomRight" state="frozen"/>
      <selection pane="topRight" activeCell="A1" sqref="A1"/>
      <selection pane="bottomLeft" activeCell="A1" sqref="A1"/>
      <selection pane="bottomRight" activeCell="I38" sqref="I38"/>
    </sheetView>
  </sheetViews>
  <sheetFormatPr baseColWidth="8" defaultRowHeight="16.5"/>
  <cols>
    <col width="3" customWidth="1" style="276" min="1" max="1"/>
    <col width="24" customWidth="1" style="276" min="2" max="2"/>
    <col width="13" customWidth="1" style="276" min="3" max="8"/>
    <col width="9.375" bestFit="1" customWidth="1" style="276" min="10" max="10"/>
  </cols>
  <sheetData>
    <row r="2" ht="20.25" customHeight="1" s="276">
      <c r="A2" s="9" t="inlineStr">
        <is>
          <t>주가 추이 및 밸류에이션</t>
        </is>
      </c>
    </row>
    <row r="4">
      <c r="B4" s="10" t="inlineStr">
        <is>
          <t>2026년 상반기 월별 주가 및 거래실적</t>
        </is>
      </c>
    </row>
    <row r="5">
      <c r="B5" s="278" t="inlineStr">
        <is>
          <t>구분</t>
        </is>
      </c>
      <c r="C5" s="402" t="n">
        <v>46023</v>
      </c>
      <c r="D5" s="402" t="n">
        <v>46054</v>
      </c>
      <c r="E5" s="402" t="n">
        <v>46082</v>
      </c>
      <c r="F5" s="402" t="n">
        <v>46113</v>
      </c>
      <c r="G5" s="402" t="n">
        <v>46143</v>
      </c>
      <c r="H5" s="402" t="n">
        <v>46174</v>
      </c>
      <c r="I5" s="402" t="n">
        <v>46204</v>
      </c>
      <c r="J5" s="402" t="n">
        <v>46235</v>
      </c>
    </row>
    <row r="6">
      <c r="B6" s="8" t="inlineStr">
        <is>
          <t>월별 최고가(원)</t>
        </is>
      </c>
      <c r="C6" s="403">
        <f>IF(COUNTIFS(주가데이터!$A:$A,"&gt;="&amp;EOMONTH(C$5,-1)+1,주가데이터!$A:$A,"&lt;="&amp;EOMONTH(C$5,0))=0,"-",
 _xlfn.MAXIFS(주가데이터!$B:$B,주가데이터!$A:$A,"&gt;="&amp;EOMONTH(C$5,-1)+1,주가데이터!$A:$A,"&lt;="&amp;EOMONTH(C$5,0)))</f>
        <v/>
      </c>
      <c r="D6" s="403">
        <f>IF(COUNTIFS(주가데이터!$A:$A,"&gt;="&amp;EOMONTH(D$5,-1)+1,주가데이터!$A:$A,"&lt;="&amp;EOMONTH(D$5,0))=0,"-",
 _xlfn.MAXIFS(주가데이터!$B:$B,주가데이터!$A:$A,"&gt;="&amp;EOMONTH(D$5,-1)+1,주가데이터!$A:$A,"&lt;="&amp;EOMONTH(D$5,0)))</f>
        <v/>
      </c>
      <c r="E6" s="403">
        <f>IF(COUNTIFS(주가데이터!$A:$A,"&gt;="&amp;EOMONTH(E$5,-1)+1,주가데이터!$A:$A,"&lt;="&amp;EOMONTH(E$5,0))=0,"-",
 _xlfn.MAXIFS(주가데이터!$B:$B,주가데이터!$A:$A,"&gt;="&amp;EOMONTH(E$5,-1)+1,주가데이터!$A:$A,"&lt;="&amp;EOMONTH(E$5,0)))</f>
        <v/>
      </c>
      <c r="F6" s="403">
        <f>IF(COUNTIFS(주가데이터!$A:$A,"&gt;="&amp;EOMONTH(F$5,-1)+1,주가데이터!$A:$A,"&lt;="&amp;EOMONTH(F$5,0))=0,"-",
 _xlfn.MAXIFS(주가데이터!$B:$B,주가데이터!$A:$A,"&gt;="&amp;EOMONTH(F$5,-1)+1,주가데이터!$A:$A,"&lt;="&amp;EOMONTH(F$5,0)))</f>
        <v/>
      </c>
      <c r="G6" s="403">
        <f>IF(COUNTIFS(주가데이터!$A:$A,"&gt;="&amp;EOMONTH(G$5,-1)+1,주가데이터!$A:$A,"&lt;="&amp;EOMONTH(G$5,0))=0,"-",
 _xlfn.MAXIFS(주가데이터!$B:$B,주가데이터!$A:$A,"&gt;="&amp;EOMONTH(G$5,-1)+1,주가데이터!$A:$A,"&lt;="&amp;EOMONTH(G$5,0)))</f>
        <v/>
      </c>
      <c r="H6" s="403">
        <f>IF(COUNTIFS(주가데이터!$A:$A,"&gt;="&amp;EOMONTH(H$5,-1)+1,주가데이터!$A:$A,"&lt;="&amp;EOMONTH(H$5,0))=0,"-",
 _xlfn.MAXIFS(주가데이터!$B:$B,주가데이터!$A:$A,"&gt;="&amp;EOMONTH(H$5,-1)+1,주가데이터!$A:$A,"&lt;="&amp;EOMONTH(H$5,0)))</f>
        <v/>
      </c>
      <c r="I6" s="403">
        <f>IF(COUNTIFS(주가데이터!$A:$A,"&gt;="&amp;EOMONTH(I$5,-1)+1,주가데이터!$A:$A,"&lt;="&amp;EOMONTH(I$5,0))=0,"-",
 _xlfn.MAXIFS(주가데이터!$B:$B,주가데이터!$A:$A,"&gt;="&amp;EOMONTH(I$5,-1)+1,주가데이터!$A:$A,"&lt;="&amp;EOMONTH(I$5,0)))</f>
        <v/>
      </c>
      <c r="J6" s="403">
        <f>IF(COUNTIFS(주가데이터!$A:$A,"&gt;="&amp;EOMONTH(J$5,-1)+1,주가데이터!$A:$A,"&lt;="&amp;EOMONTH(J$5,0))=0,"-",
 _xlfn.MAXIFS(주가데이터!$B:$B,주가데이터!$A:$A,"&gt;="&amp;EOMONTH(J$5,-1)+1,주가데이터!$A:$A,"&lt;="&amp;EOMONTH(J$5,0)))</f>
        <v/>
      </c>
    </row>
    <row r="7">
      <c r="B7" s="8" t="inlineStr">
        <is>
          <t>월별 최저가(원)</t>
        </is>
      </c>
      <c r="C7" s="403">
        <f>IF(COUNTIFS(주가데이터!$A:$A,"&gt;="&amp;EOMONTH(C$5,-1)+1,주가데이터!$A:$A,"&lt;="&amp;EOMONTH(C$5,0))=0,"-",
 _xlfn.MINIFS(주가데이터!$B:$B,주가데이터!$A:$A,"&gt;="&amp;EOMONTH(C$5,-1)+1,주가데이터!$A:$A,"&lt;="&amp;EOMONTH(C$5,0)))</f>
        <v/>
      </c>
      <c r="D7" s="403">
        <f>IF(COUNTIFS(주가데이터!$A:$A,"&gt;="&amp;EOMONTH(D$5,-1)+1,주가데이터!$A:$A,"&lt;="&amp;EOMONTH(D$5,0))=0,"-",
 _xlfn.MINIFS(주가데이터!$B:$B,주가데이터!$A:$A,"&gt;="&amp;EOMONTH(D$5,-1)+1,주가데이터!$A:$A,"&lt;="&amp;EOMONTH(D$5,0)))</f>
        <v/>
      </c>
      <c r="E7" s="403">
        <f>IF(COUNTIFS(주가데이터!$A:$A,"&gt;="&amp;EOMONTH(E$5,-1)+1,주가데이터!$A:$A,"&lt;="&amp;EOMONTH(E$5,0))=0,"-",
 _xlfn.MINIFS(주가데이터!$B:$B,주가데이터!$A:$A,"&gt;="&amp;EOMONTH(E$5,-1)+1,주가데이터!$A:$A,"&lt;="&amp;EOMONTH(E$5,0)))</f>
        <v/>
      </c>
      <c r="F7" s="403">
        <f>IF(COUNTIFS(주가데이터!$A:$A,"&gt;="&amp;EOMONTH(F$5,-1)+1,주가데이터!$A:$A,"&lt;="&amp;EOMONTH(F$5,0))=0,"-",
 _xlfn.MINIFS(주가데이터!$B:$B,주가데이터!$A:$A,"&gt;="&amp;EOMONTH(F$5,-1)+1,주가데이터!$A:$A,"&lt;="&amp;EOMONTH(F$5,0)))</f>
        <v/>
      </c>
      <c r="G7" s="403">
        <f>IF(COUNTIFS(주가데이터!$A:$A,"&gt;="&amp;EOMONTH(G$5,-1)+1,주가데이터!$A:$A,"&lt;="&amp;EOMONTH(G$5,0))=0,"-",
 _xlfn.MINIFS(주가데이터!$B:$B,주가데이터!$A:$A,"&gt;="&amp;EOMONTH(G$5,-1)+1,주가데이터!$A:$A,"&lt;="&amp;EOMONTH(G$5,0)))</f>
        <v/>
      </c>
      <c r="H7" s="403">
        <f>IF(COUNTIFS(주가데이터!$A:$A,"&gt;="&amp;EOMONTH(H$5,-1)+1,주가데이터!$A:$A,"&lt;="&amp;EOMONTH(H$5,0))=0,"-",
 _xlfn.MINIFS(주가데이터!$B:$B,주가데이터!$A:$A,"&gt;="&amp;EOMONTH(H$5,-1)+1,주가데이터!$A:$A,"&lt;="&amp;EOMONTH(H$5,0)))</f>
        <v/>
      </c>
      <c r="I7" s="403">
        <f>IF(COUNTIFS(주가데이터!$A:$A,"&gt;="&amp;EOMONTH(I$5,-1)+1,주가데이터!$A:$A,"&lt;="&amp;EOMONTH(I$5,0))=0,"-",
 _xlfn.MINIFS(주가데이터!$B:$B,주가데이터!$A:$A,"&gt;="&amp;EOMONTH(I$5,-1)+1,주가데이터!$A:$A,"&lt;="&amp;EOMONTH(I$5,0)))</f>
        <v/>
      </c>
      <c r="J7" s="403">
        <f>IF(COUNTIFS(주가데이터!$A:$A,"&gt;="&amp;EOMONTH(J$5,-1)+1,주가데이터!$A:$A,"&lt;="&amp;EOMONTH(J$5,0))=0,"-",
 _xlfn.MINIFS(주가데이터!$B:$B,주가데이터!$A:$A,"&gt;="&amp;EOMONTH(J$5,-1)+1,주가데이터!$A:$A,"&lt;="&amp;EOMONTH(J$5,0)))</f>
        <v/>
      </c>
    </row>
    <row r="8">
      <c r="B8" s="36" t="inlineStr">
        <is>
          <t>평균주가(원)</t>
        </is>
      </c>
      <c r="C8" s="404">
        <f>IF(COUNTIFS(주가데이터!$A:$A,"&gt;="&amp;EOMONTH(C$5,-1)+1,주가데이터!$A:$A,"&lt;="&amp;EOMONTH(C$5,0))=0,"-",
 ROUND(AVERAGEIFS(주가데이터!$B:$B,주가데이터!$A:$A,"&gt;="&amp;EOMONTH(C$5,-1)+1,주가데이터!$A:$A,"&lt;="&amp;EOMONTH(C$5,0)),0))</f>
        <v/>
      </c>
      <c r="D8" s="404">
        <f>IF(COUNTIFS(주가데이터!$A:$A,"&gt;="&amp;EOMONTH(D$5,-1)+1,주가데이터!$A:$A,"&lt;="&amp;EOMONTH(D$5,0))=0,"-",
 ROUND(AVERAGEIFS(주가데이터!$B:$B,주가데이터!$A:$A,"&gt;="&amp;EOMONTH(D$5,-1)+1,주가데이터!$A:$A,"&lt;="&amp;EOMONTH(D$5,0)),0))</f>
        <v/>
      </c>
      <c r="E8" s="404">
        <f>IF(COUNTIFS(주가데이터!$A:$A,"&gt;="&amp;EOMONTH(E$5,-1)+1,주가데이터!$A:$A,"&lt;="&amp;EOMONTH(E$5,0))=0,"-",
 ROUND(AVERAGEIFS(주가데이터!$B:$B,주가데이터!$A:$A,"&gt;="&amp;EOMONTH(E$5,-1)+1,주가데이터!$A:$A,"&lt;="&amp;EOMONTH(E$5,0)),0))</f>
        <v/>
      </c>
      <c r="F8" s="404">
        <f>IF(COUNTIFS(주가데이터!$A:$A,"&gt;="&amp;EOMONTH(F$5,-1)+1,주가데이터!$A:$A,"&lt;="&amp;EOMONTH(F$5,0))=0,"-",
 ROUND(AVERAGEIFS(주가데이터!$B:$B,주가데이터!$A:$A,"&gt;="&amp;EOMONTH(F$5,-1)+1,주가데이터!$A:$A,"&lt;="&amp;EOMONTH(F$5,0)),0))</f>
        <v/>
      </c>
      <c r="G8" s="404">
        <f>IF(COUNTIFS(주가데이터!$A:$A,"&gt;="&amp;EOMONTH(G$5,-1)+1,주가데이터!$A:$A,"&lt;="&amp;EOMONTH(G$5,0))=0,"-",
 ROUND(AVERAGEIFS(주가데이터!$B:$B,주가데이터!$A:$A,"&gt;="&amp;EOMONTH(G$5,-1)+1,주가데이터!$A:$A,"&lt;="&amp;EOMONTH(G$5,0)),0))</f>
        <v/>
      </c>
      <c r="H8" s="404">
        <f>IF(COUNTIFS(주가데이터!$A:$A,"&gt;="&amp;EOMONTH(H$5,-1)+1,주가데이터!$A:$A,"&lt;="&amp;EOMONTH(H$5,0))=0,"-",
 ROUND(AVERAGEIFS(주가데이터!$B:$B,주가데이터!$A:$A,"&gt;="&amp;EOMONTH(H$5,-1)+1,주가데이터!$A:$A,"&lt;="&amp;EOMONTH(H$5,0)),0))</f>
        <v/>
      </c>
      <c r="I8" s="404">
        <f>IF(COUNTIFS(주가데이터!$A:$A,"&gt;="&amp;EOMONTH(I$5,-1)+1,주가데이터!$A:$A,"&lt;="&amp;EOMONTH(I$5,0))=0,"-",
 ROUND(AVERAGEIFS(주가데이터!$B:$B,주가데이터!$A:$A,"&gt;="&amp;EOMONTH(I$5,-1)+1,주가데이터!$A:$A,"&lt;="&amp;EOMONTH(I$5,0)),0))</f>
        <v/>
      </c>
      <c r="J8" s="404">
        <f>IF(COUNTIFS(주가데이터!$A:$A,"&gt;="&amp;EOMONTH(J$5,-1)+1,주가데이터!$A:$A,"&lt;="&amp;EOMONTH(J$5,0))=0,"-",
 ROUND(AVERAGEIFS(주가데이터!$B:$B,주가데이터!$A:$A,"&gt;="&amp;EOMONTH(J$5,-1)+1,주가데이터!$A:$A,"&lt;="&amp;EOMONTH(J$5,0)),0))</f>
        <v/>
      </c>
    </row>
    <row r="9">
      <c r="B9" s="8" t="inlineStr">
        <is>
          <t>월간 거래량(주)</t>
        </is>
      </c>
      <c r="C9" s="403">
        <f>IF(COUNTIFS(주가데이터!$A:$A,"&gt;="&amp;EOMONTH(C$5,-1)+1,주가데이터!$A:$A,"&lt;="&amp;EOMONTH(C$5,0))=0,"-",
 SUMIFS(주가데이터!$C:$C,주가데이터!$A:$A,"&gt;="&amp;EOMONTH(C$5,-1)+1,주가데이터!$A:$A,"&lt;="&amp;EOMONTH(C$5,0)))</f>
        <v/>
      </c>
      <c r="D9" s="403">
        <f>IF(COUNTIFS(주가데이터!$A:$A,"&gt;="&amp;EOMONTH(D$5,-1)+1,주가데이터!$A:$A,"&lt;="&amp;EOMONTH(D$5,0))=0,"-",
 SUMIFS(주가데이터!$C:$C,주가데이터!$A:$A,"&gt;="&amp;EOMONTH(D$5,-1)+1,주가데이터!$A:$A,"&lt;="&amp;EOMONTH(D$5,0)))</f>
        <v/>
      </c>
      <c r="E9" s="403">
        <f>IF(COUNTIFS(주가데이터!$A:$A,"&gt;="&amp;EOMONTH(E$5,-1)+1,주가데이터!$A:$A,"&lt;="&amp;EOMONTH(E$5,0))=0,"-",
 SUMIFS(주가데이터!$C:$C,주가데이터!$A:$A,"&gt;="&amp;EOMONTH(E$5,-1)+1,주가데이터!$A:$A,"&lt;="&amp;EOMONTH(E$5,0)))</f>
        <v/>
      </c>
      <c r="F9" s="403">
        <f>IF(COUNTIFS(주가데이터!$A:$A,"&gt;="&amp;EOMONTH(F$5,-1)+1,주가데이터!$A:$A,"&lt;="&amp;EOMONTH(F$5,0))=0,"-",
 SUMIFS(주가데이터!$C:$C,주가데이터!$A:$A,"&gt;="&amp;EOMONTH(F$5,-1)+1,주가데이터!$A:$A,"&lt;="&amp;EOMONTH(F$5,0)))</f>
        <v/>
      </c>
      <c r="G9" s="403">
        <f>IF(COUNTIFS(주가데이터!$A:$A,"&gt;="&amp;EOMONTH(G$5,-1)+1,주가데이터!$A:$A,"&lt;="&amp;EOMONTH(G$5,0))=0,"-",
 SUMIFS(주가데이터!$C:$C,주가데이터!$A:$A,"&gt;="&amp;EOMONTH(G$5,-1)+1,주가데이터!$A:$A,"&lt;="&amp;EOMONTH(G$5,0)))</f>
        <v/>
      </c>
      <c r="H9" s="403">
        <f>IF(COUNTIFS(주가데이터!$A:$A,"&gt;="&amp;EOMONTH(H$5,-1)+1,주가데이터!$A:$A,"&lt;="&amp;EOMONTH(H$5,0))=0,"-",
 SUMIFS(주가데이터!$C:$C,주가데이터!$A:$A,"&gt;="&amp;EOMONTH(H$5,-1)+1,주가데이터!$A:$A,"&lt;="&amp;EOMONTH(H$5,0)))</f>
        <v/>
      </c>
      <c r="I9" s="403">
        <f>IF(COUNTIFS(주가데이터!$A:$A,"&gt;="&amp;EOMONTH(I$5,-1)+1,주가데이터!$A:$A,"&lt;="&amp;EOMONTH(I$5,0))=0,"-",
 SUMIFS(주가데이터!$C:$C,주가데이터!$A:$A,"&gt;="&amp;EOMONTH(I$5,-1)+1,주가데이터!$A:$A,"&lt;="&amp;EOMONTH(I$5,0)))</f>
        <v/>
      </c>
      <c r="J9" s="403">
        <f>IF(COUNTIFS(주가데이터!$A:$A,"&gt;="&amp;EOMONTH(J$5,-1)+1,주가데이터!$A:$A,"&lt;="&amp;EOMONTH(J$5,0))=0,"-",
 SUMIFS(주가데이터!$C:$C,주가데이터!$A:$A,"&gt;="&amp;EOMONTH(J$5,-1)+1,주가데이터!$A:$A,"&lt;="&amp;EOMONTH(J$5,0)))</f>
        <v/>
      </c>
    </row>
    <row r="11">
      <c r="B11" s="8" t="inlineStr">
        <is>
          <t>시가총액(백만원)</t>
        </is>
      </c>
      <c r="C11" s="405">
        <f>C8*15392981/1000000</f>
        <v/>
      </c>
      <c r="D11" s="405">
        <f>D8*15392981/1000000</f>
        <v/>
      </c>
      <c r="E11" s="405">
        <f>E8*15392981/1000000</f>
        <v/>
      </c>
      <c r="F11" s="405">
        <f>F8*15392981/1000000</f>
        <v/>
      </c>
      <c r="G11" s="405">
        <f>G8*15392981/1000000</f>
        <v/>
      </c>
      <c r="H11" s="405">
        <f>H8*15392981/1000000</f>
        <v/>
      </c>
      <c r="I11" s="405">
        <f>I8*15392981/1000000</f>
        <v/>
      </c>
      <c r="J11" s="405">
        <f>J8*15392981/1000000</f>
        <v/>
      </c>
    </row>
    <row r="12">
      <c r="A12" s="23" t="n"/>
    </row>
    <row r="13">
      <c r="D13" s="273" t="n"/>
    </row>
    <row r="15">
      <c r="B15" s="10" t="inlineStr">
        <is>
          <t>장기 주가 추이</t>
        </is>
      </c>
    </row>
    <row r="16">
      <c r="B16" s="278" t="inlineStr">
        <is>
          <t>시점</t>
        </is>
      </c>
      <c r="C16" s="278" t="inlineStr">
        <is>
          <t>주가(원)</t>
        </is>
      </c>
      <c r="D16" s="278" t="inlineStr">
        <is>
          <t>비고</t>
        </is>
      </c>
      <c r="E16" s="278" t="n"/>
      <c r="F16" s="278" t="n"/>
      <c r="G16" s="278" t="n"/>
    </row>
    <row r="17" ht="24" customHeight="1" s="276">
      <c r="B17" s="52" t="inlineStr">
        <is>
          <t>2024.03.26 (상장일)</t>
        </is>
      </c>
      <c r="C17" s="406" t="n">
        <v>65000</v>
      </c>
      <c r="D17" s="46" t="inlineStr">
        <is>
          <t>공모가 20,000원 / 시초가 50,500원</t>
        </is>
      </c>
      <c r="E17" s="46" t="n"/>
      <c r="F17" s="46" t="n"/>
      <c r="G17" s="46" t="n"/>
    </row>
    <row r="18" ht="36" customHeight="1" s="276">
      <c r="B18" s="52" t="inlineStr">
        <is>
          <t>2024.09.23</t>
        </is>
      </c>
      <c r="C18" s="406" t="n">
        <v>29850</v>
      </c>
      <c r="D18" s="46" t="inlineStr">
        <is>
          <t>상장일 종가 대비 -54% / 한국IR협의회 기준일</t>
        </is>
      </c>
      <c r="E18" s="46" t="n"/>
      <c r="F18" s="46" t="n"/>
      <c r="G18" s="46" t="n"/>
    </row>
    <row r="19" ht="24" customHeight="1" s="276">
      <c r="B19" s="52" t="inlineStr">
        <is>
          <t>2025.05.29</t>
        </is>
      </c>
      <c r="C19" s="406" t="n">
        <v>23350</v>
      </c>
      <c r="D19" s="46" t="inlineStr">
        <is>
          <t>SK증권 리포트 기준일</t>
        </is>
      </c>
      <c r="E19" s="46" t="n"/>
      <c r="F19" s="46" t="n"/>
      <c r="G19" s="46" t="n"/>
    </row>
    <row r="20" ht="36" customHeight="1" s="276">
      <c r="B20" s="52" t="inlineStr">
        <is>
          <t>2025.12.15</t>
        </is>
      </c>
      <c r="C20" s="406" t="n">
        <v>32850</v>
      </c>
      <c r="D20" s="46" t="inlineStr">
        <is>
          <t>리딩투자증권 기준일 / 시가총액 4,950억원</t>
        </is>
      </c>
      <c r="E20" s="46" t="n"/>
      <c r="F20" s="46" t="n"/>
      <c r="G20" s="46" t="n"/>
    </row>
    <row r="21" ht="24" customHeight="1" s="276">
      <c r="B21" s="52" t="inlineStr">
        <is>
          <t>2026.06 평균</t>
        </is>
      </c>
      <c r="C21" s="406" t="n">
        <v>23332</v>
      </c>
      <c r="D21" s="46" t="inlineStr">
        <is>
          <t>6월 최저 18,230원 (공모가 하회)</t>
        </is>
      </c>
      <c r="E21" s="46" t="n"/>
      <c r="F21" s="46" t="n"/>
      <c r="G21" s="46" t="n"/>
    </row>
    <row r="24">
      <c r="B24" s="10" t="inlineStr">
        <is>
          <t>상장 시 공모가 산정 내역</t>
        </is>
      </c>
    </row>
    <row r="25">
      <c r="B25" s="278" t="inlineStr">
        <is>
          <t>구분</t>
        </is>
      </c>
      <c r="C25" s="278" t="inlineStr">
        <is>
          <t>내용</t>
        </is>
      </c>
      <c r="D25" s="278" t="n"/>
      <c r="E25" s="278" t="n"/>
      <c r="F25" s="278" t="n"/>
      <c r="G25" s="278" t="n"/>
    </row>
    <row r="26" ht="60" customHeight="1" s="276">
      <c r="B26" s="52" t="inlineStr">
        <is>
          <t>비교기업</t>
        </is>
      </c>
      <c r="C26" s="46" t="inlineStr">
        <is>
          <t>㈜라온테크 PER 33.83배 / 삼익THK㈜ PER 40.90배 → 적용 PER 37.37배</t>
        </is>
      </c>
      <c r="D26" s="46" t="n"/>
      <c r="E26" s="46" t="n"/>
      <c r="F26" s="46" t="n"/>
      <c r="G26" s="46" t="n"/>
    </row>
    <row r="27" ht="36" customHeight="1" s="276">
      <c r="B27" s="52" t="inlineStr">
        <is>
          <t>적용 이익</t>
        </is>
      </c>
      <c r="C27" s="46" t="inlineStr">
        <is>
          <t>2026년 추정 당기순이익 11,450백만원</t>
        </is>
      </c>
      <c r="D27" s="46" t="n"/>
      <c r="E27" s="46" t="n"/>
      <c r="F27" s="46" t="n"/>
      <c r="G27" s="46" t="n"/>
    </row>
    <row r="28" ht="36" customHeight="1" s="276">
      <c r="B28" s="52" t="inlineStr">
        <is>
          <t>현가 환산</t>
        </is>
      </c>
      <c r="C28" s="46" t="inlineStr">
        <is>
          <t>연 할인율 15% 적용 → 2023년말 현가 7,529백만원</t>
        </is>
      </c>
      <c r="D28" s="46" t="n"/>
      <c r="E28" s="46" t="n"/>
      <c r="F28" s="46" t="n"/>
      <c r="G28" s="46" t="n"/>
    </row>
    <row r="29">
      <c r="B29" s="52" t="inlineStr">
        <is>
          <t>적용 주식수</t>
        </is>
      </c>
      <c r="C29" s="46" t="inlineStr">
        <is>
          <t>15,601,881주</t>
        </is>
      </c>
      <c r="D29" s="46" t="n"/>
      <c r="E29" s="46" t="n"/>
      <c r="F29" s="46" t="n"/>
      <c r="G29" s="46" t="n"/>
    </row>
    <row r="30">
      <c r="B30" s="52" t="inlineStr">
        <is>
          <t>주당 평가가액</t>
        </is>
      </c>
      <c r="C30" s="46" t="inlineStr">
        <is>
          <t>18,030원</t>
        </is>
      </c>
      <c r="D30" s="46" t="n"/>
      <c r="E30" s="46" t="n"/>
      <c r="F30" s="46" t="n"/>
      <c r="G30" s="46" t="n"/>
    </row>
    <row r="31" ht="48" customHeight="1" s="276">
      <c r="B31" s="52" t="inlineStr">
        <is>
          <t>희망공모가 밴드</t>
        </is>
      </c>
      <c r="C31" s="46" t="inlineStr">
        <is>
          <t>11,000 ~ 15,000원 (평가액 대비 16.81~38.99% 할인)</t>
        </is>
      </c>
      <c r="D31" s="46" t="n"/>
      <c r="E31" s="46" t="n"/>
      <c r="F31" s="46" t="n"/>
      <c r="G31" s="46" t="n"/>
    </row>
    <row r="32">
      <c r="B32" s="52" t="inlineStr">
        <is>
          <t>확정 공모가</t>
        </is>
      </c>
      <c r="C32" s="46" t="inlineStr">
        <is>
          <t>20,000원</t>
        </is>
      </c>
      <c r="D32" s="46" t="n"/>
      <c r="E32" s="46" t="n"/>
      <c r="F32" s="46" t="n"/>
      <c r="G32" s="46" t="n"/>
    </row>
    <row r="33">
      <c r="A33" s="55" t="inlineStr">
        <is>
          <t>⚠️ 공모가는 2026년 추정 당기순이익 11,450백만원을 전제로 산정되었으나, 2026년 반기 실적은 순손실 3,665백만원</t>
        </is>
      </c>
    </row>
    <row r="36">
      <c r="B36" s="10" t="inlineStr">
        <is>
          <t>동종 업종 밸류에이션 (2024.09.23 기준)</t>
        </is>
      </c>
    </row>
    <row r="37">
      <c r="B37" s="278" t="inlineStr">
        <is>
          <t>기업명</t>
        </is>
      </c>
      <c r="C37" s="278" t="inlineStr">
        <is>
          <t>종가(원)</t>
        </is>
      </c>
      <c r="D37" s="278" t="inlineStr">
        <is>
          <t>시가총액(십억원)</t>
        </is>
      </c>
      <c r="E37" s="278" t="inlineStr">
        <is>
          <t>PSR(배, 2024F)</t>
        </is>
      </c>
      <c r="F37" s="278" t="inlineStr">
        <is>
          <t>PBR(배, 2024F)</t>
        </is>
      </c>
      <c r="G37" s="278" t="n"/>
    </row>
    <row r="38">
      <c r="B38" s="52" t="inlineStr">
        <is>
          <t>엔젤로보틱스</t>
        </is>
      </c>
      <c r="C38" s="406" t="n">
        <v>29850</v>
      </c>
      <c r="D38" s="406" t="n">
        <v>446</v>
      </c>
      <c r="E38" s="11" t="n">
        <v>66.09999999999999</v>
      </c>
      <c r="F38" s="11" t="n">
        <v>13.2</v>
      </c>
      <c r="G38" s="46" t="n"/>
    </row>
    <row r="39">
      <c r="B39" s="52" t="inlineStr">
        <is>
          <t>삼익THK</t>
        </is>
      </c>
      <c r="C39" s="406" t="n">
        <v>9820</v>
      </c>
      <c r="D39" s="406" t="n">
        <v>206</v>
      </c>
      <c r="E39" s="407" t="n">
        <v>0.6</v>
      </c>
      <c r="F39" s="407" t="n">
        <v>1</v>
      </c>
      <c r="G39" s="46" t="n"/>
    </row>
    <row r="40">
      <c r="B40" s="52" t="inlineStr">
        <is>
          <t>알에스오토메이션</t>
        </is>
      </c>
      <c r="C40" s="406" t="n">
        <v>11560</v>
      </c>
      <c r="D40" s="406" t="n">
        <v>108</v>
      </c>
      <c r="E40" s="407" t="n">
        <v>1.2</v>
      </c>
      <c r="F40" s="407" t="n">
        <v>3</v>
      </c>
      <c r="G40" s="46" t="n"/>
    </row>
    <row r="41">
      <c r="B41" s="52" t="inlineStr">
        <is>
          <t>코스닥 평균</t>
        </is>
      </c>
      <c r="C41" s="406" t="n">
        <v>755</v>
      </c>
      <c r="D41" s="406" t="n">
        <v>372025</v>
      </c>
      <c r="E41" s="407" t="n">
        <v>1.8</v>
      </c>
      <c r="F41" s="407" t="n">
        <v>2.4</v>
      </c>
      <c r="G41" s="46" t="n"/>
    </row>
    <row r="42">
      <c r="A42" s="23" t="inlineStr">
        <is>
          <t>출처: Quantiwise, 한국IR협의회 기업리서치센터 / 최근 3개월간 한국거래소 시장경보제도 지정 이력 없음</t>
        </is>
      </c>
    </row>
  </sheetData>
  <pageMargins left="0.75" right="0.75" top="1" bottom="1" header="0.5" footer="0.5"/>
  <pageSetup orientation="landscape"/>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N588"/>
  <sheetViews>
    <sheetView topLeftCell="A98" workbookViewId="0">
      <selection activeCell="B123" sqref="B123"/>
    </sheetView>
  </sheetViews>
  <sheetFormatPr baseColWidth="8" defaultRowHeight="16.5"/>
  <cols>
    <col width="16.75" customWidth="1" style="241" min="1" max="8"/>
    <col width="18.5" customWidth="1" style="241" min="9" max="9"/>
    <col width="20.125" customWidth="1" style="241" min="10" max="10"/>
    <col width="16.75" customWidth="1" style="241" min="11" max="11"/>
    <col width="9" customWidth="1" style="241" min="12" max="12"/>
    <col width="5.25" bestFit="1" customWidth="1" style="241" min="13" max="13"/>
    <col width="8.5" bestFit="1" customWidth="1" style="241" min="14" max="14"/>
    <col width="9" customWidth="1" style="241" min="15" max="16384"/>
  </cols>
  <sheetData>
    <row r="1" ht="20.1" customHeight="1" s="276">
      <c r="A1" s="244" t="inlineStr">
        <is>
          <t>일자</t>
        </is>
      </c>
      <c r="B1" s="244" t="inlineStr">
        <is>
          <t>종가</t>
        </is>
      </c>
      <c r="C1" s="244" t="inlineStr">
        <is>
          <t>거래량</t>
        </is>
      </c>
      <c r="D1" s="244" t="inlineStr">
        <is>
          <t>대비</t>
        </is>
      </c>
      <c r="E1" s="244" t="inlineStr">
        <is>
          <t>등락률</t>
        </is>
      </c>
      <c r="F1" s="244" t="inlineStr">
        <is>
          <t>시가</t>
        </is>
      </c>
      <c r="G1" s="244" t="inlineStr">
        <is>
          <t>고가</t>
        </is>
      </c>
      <c r="H1" s="244" t="inlineStr">
        <is>
          <t>저가</t>
        </is>
      </c>
      <c r="I1" s="244" t="inlineStr">
        <is>
          <t>거래대금</t>
        </is>
      </c>
      <c r="J1" s="244" t="inlineStr">
        <is>
          <t>시가총액</t>
        </is>
      </c>
      <c r="K1" s="244" t="inlineStr">
        <is>
          <t>상장주식수</t>
        </is>
      </c>
      <c r="M1" s="271" t="inlineStr">
        <is>
          <t>일자</t>
        </is>
      </c>
      <c r="N1" t="inlineStr">
        <is>
          <t>(모두)</t>
        </is>
      </c>
    </row>
    <row r="2">
      <c r="A2" s="408" t="n">
        <v>45377</v>
      </c>
      <c r="B2" s="242" t="n">
        <v>65000</v>
      </c>
      <c r="C2" s="242" t="n">
        <v>34678750</v>
      </c>
      <c r="D2" s="242" t="n">
        <v>45000</v>
      </c>
      <c r="E2" s="243" t="n">
        <v>225</v>
      </c>
      <c r="F2" s="242" t="n">
        <v>50500</v>
      </c>
      <c r="G2" s="242" t="n">
        <v>77700</v>
      </c>
      <c r="H2" s="242" t="n">
        <v>44100</v>
      </c>
      <c r="I2" s="242" t="n">
        <v>1956417590850</v>
      </c>
      <c r="J2" s="242" t="n">
        <v>910973440000</v>
      </c>
      <c r="K2" s="242" t="n">
        <v>14014976</v>
      </c>
    </row>
    <row r="3">
      <c r="A3" s="408" t="n">
        <v>45378</v>
      </c>
      <c r="B3" s="242" t="n">
        <v>66800</v>
      </c>
      <c r="C3" s="242" t="n">
        <v>13615567</v>
      </c>
      <c r="D3" s="242" t="n">
        <v>1800</v>
      </c>
      <c r="E3" s="243" t="n">
        <v>2.77</v>
      </c>
      <c r="F3" s="242" t="n">
        <v>71100</v>
      </c>
      <c r="G3" s="242" t="n">
        <v>76400</v>
      </c>
      <c r="H3" s="242" t="n">
        <v>65700</v>
      </c>
      <c r="I3" s="242" t="n">
        <v>980270773300</v>
      </c>
      <c r="J3" s="242" t="n">
        <v>936200396800</v>
      </c>
      <c r="K3" s="242" t="n">
        <v>14014976</v>
      </c>
    </row>
    <row r="4">
      <c r="A4" s="408" t="n">
        <v>45379</v>
      </c>
      <c r="B4" s="242" t="n">
        <v>61400</v>
      </c>
      <c r="C4" s="242" t="n">
        <v>4783790</v>
      </c>
      <c r="D4" s="242" t="n">
        <v>-5400</v>
      </c>
      <c r="E4" s="243" t="n">
        <v>-8.08</v>
      </c>
      <c r="F4" s="242" t="n">
        <v>64000</v>
      </c>
      <c r="G4" s="242" t="n">
        <v>66500</v>
      </c>
      <c r="H4" s="242" t="n">
        <v>57600</v>
      </c>
      <c r="I4" s="242" t="n">
        <v>292597717700</v>
      </c>
      <c r="J4" s="242" t="n">
        <v>860519526400</v>
      </c>
      <c r="K4" s="242" t="n">
        <v>14014976</v>
      </c>
    </row>
    <row r="5">
      <c r="A5" s="408" t="n">
        <v>45380</v>
      </c>
      <c r="B5" s="242" t="n">
        <v>68700</v>
      </c>
      <c r="C5" s="242" t="n">
        <v>14207848</v>
      </c>
      <c r="D5" s="242" t="n">
        <v>7300</v>
      </c>
      <c r="E5" s="243" t="n">
        <v>11.89</v>
      </c>
      <c r="F5" s="242" t="n">
        <v>60200</v>
      </c>
      <c r="G5" s="242" t="n">
        <v>74400</v>
      </c>
      <c r="H5" s="242" t="n">
        <v>59800</v>
      </c>
      <c r="I5" s="242" t="n">
        <v>995573499700</v>
      </c>
      <c r="J5" s="242" t="n">
        <v>962828851200</v>
      </c>
      <c r="K5" s="242" t="n">
        <v>14014976</v>
      </c>
    </row>
    <row r="6">
      <c r="A6" s="408" t="n">
        <v>45383</v>
      </c>
      <c r="B6" s="242" t="n">
        <v>66700</v>
      </c>
      <c r="C6" s="242" t="n">
        <v>2905786</v>
      </c>
      <c r="D6" s="242" t="n">
        <v>-2000</v>
      </c>
      <c r="E6" s="243" t="n">
        <v>-2.91</v>
      </c>
      <c r="F6" s="242" t="n">
        <v>69000</v>
      </c>
      <c r="G6" s="242" t="n">
        <v>69500</v>
      </c>
      <c r="H6" s="242" t="n">
        <v>64100</v>
      </c>
      <c r="I6" s="242" t="n">
        <v>194548920200</v>
      </c>
      <c r="J6" s="242" t="n">
        <v>934798899200</v>
      </c>
      <c r="K6" s="242" t="n">
        <v>14014976</v>
      </c>
    </row>
    <row r="7">
      <c r="A7" s="408" t="n">
        <v>45384</v>
      </c>
      <c r="B7" s="242" t="n">
        <v>60500</v>
      </c>
      <c r="C7" s="242" t="n">
        <v>1815163</v>
      </c>
      <c r="D7" s="242" t="n">
        <v>-6200</v>
      </c>
      <c r="E7" s="243" t="n">
        <v>-9.300000000000001</v>
      </c>
      <c r="F7" s="242" t="n">
        <v>65600</v>
      </c>
      <c r="G7" s="242" t="n">
        <v>66000</v>
      </c>
      <c r="H7" s="242" t="n">
        <v>60400</v>
      </c>
      <c r="I7" s="242" t="n">
        <v>113088437800</v>
      </c>
      <c r="J7" s="242" t="n">
        <v>847906048000</v>
      </c>
      <c r="K7" s="242" t="n">
        <v>14014976</v>
      </c>
    </row>
    <row r="8">
      <c r="A8" s="408" t="n">
        <v>45385</v>
      </c>
      <c r="B8" s="242" t="n">
        <v>59100</v>
      </c>
      <c r="C8" s="242" t="n">
        <v>3186838</v>
      </c>
      <c r="D8" s="242" t="n">
        <v>-1400</v>
      </c>
      <c r="E8" s="243" t="n">
        <v>-2.31</v>
      </c>
      <c r="F8" s="242" t="n">
        <v>58600</v>
      </c>
      <c r="G8" s="242" t="n">
        <v>65200</v>
      </c>
      <c r="H8" s="242" t="n">
        <v>56500</v>
      </c>
      <c r="I8" s="242" t="n">
        <v>194897647400</v>
      </c>
      <c r="J8" s="242" t="n">
        <v>828285081600</v>
      </c>
      <c r="K8" s="242" t="n">
        <v>14014976</v>
      </c>
    </row>
    <row r="9">
      <c r="A9" s="408" t="n">
        <v>45386</v>
      </c>
      <c r="B9" s="242" t="n">
        <v>59400</v>
      </c>
      <c r="C9" s="242" t="n">
        <v>1258767</v>
      </c>
      <c r="D9" s="242" t="n">
        <v>300</v>
      </c>
      <c r="E9" s="243" t="n">
        <v>0.51</v>
      </c>
      <c r="F9" s="242" t="n">
        <v>62500</v>
      </c>
      <c r="G9" s="242" t="n">
        <v>63300</v>
      </c>
      <c r="H9" s="242" t="n">
        <v>59300</v>
      </c>
      <c r="I9" s="242" t="n">
        <v>77152126200</v>
      </c>
      <c r="J9" s="242" t="n">
        <v>832489574400</v>
      </c>
      <c r="K9" s="242" t="n">
        <v>14014976</v>
      </c>
    </row>
    <row r="10">
      <c r="A10" s="408" t="n">
        <v>45387</v>
      </c>
      <c r="B10" s="242" t="n">
        <v>56500</v>
      </c>
      <c r="C10" s="242" t="n">
        <v>698739</v>
      </c>
      <c r="D10" s="242" t="n">
        <v>-2900</v>
      </c>
      <c r="E10" s="243" t="n">
        <v>-4.88</v>
      </c>
      <c r="F10" s="242" t="n">
        <v>57100</v>
      </c>
      <c r="G10" s="242" t="n">
        <v>59200</v>
      </c>
      <c r="H10" s="242" t="n">
        <v>56500</v>
      </c>
      <c r="I10" s="242" t="n">
        <v>39999055700</v>
      </c>
      <c r="J10" s="242" t="n">
        <v>791846144000</v>
      </c>
      <c r="K10" s="242" t="n">
        <v>14014976</v>
      </c>
    </row>
    <row r="11">
      <c r="A11" s="408" t="n">
        <v>45390</v>
      </c>
      <c r="B11" s="242" t="n">
        <v>53600</v>
      </c>
      <c r="C11" s="242" t="n">
        <v>728119</v>
      </c>
      <c r="D11" s="242" t="n">
        <v>-2900</v>
      </c>
      <c r="E11" s="243" t="n">
        <v>-5.13</v>
      </c>
      <c r="F11" s="242" t="n">
        <v>57500</v>
      </c>
      <c r="G11" s="242" t="n">
        <v>59300</v>
      </c>
      <c r="H11" s="242" t="n">
        <v>53500</v>
      </c>
      <c r="I11" s="242" t="n">
        <v>40753864300</v>
      </c>
      <c r="J11" s="242" t="n">
        <v>751202713600</v>
      </c>
      <c r="K11" s="242" t="n">
        <v>14014976</v>
      </c>
    </row>
    <row r="12">
      <c r="A12" s="408" t="n">
        <v>45391</v>
      </c>
      <c r="B12" s="242" t="n">
        <v>51200</v>
      </c>
      <c r="C12" s="242" t="n">
        <v>568187</v>
      </c>
      <c r="D12" s="242" t="n">
        <v>-2400</v>
      </c>
      <c r="E12" s="243" t="n">
        <v>-4.48</v>
      </c>
      <c r="F12" s="242" t="n">
        <v>53300</v>
      </c>
      <c r="G12" s="242" t="n">
        <v>54600</v>
      </c>
      <c r="H12" s="242" t="n">
        <v>50700</v>
      </c>
      <c r="I12" s="242" t="n">
        <v>29629349900</v>
      </c>
      <c r="J12" s="242" t="n">
        <v>717566771200</v>
      </c>
      <c r="K12" s="242" t="n">
        <v>14014976</v>
      </c>
    </row>
    <row r="13">
      <c r="A13" s="408" t="n">
        <v>45393</v>
      </c>
      <c r="B13" s="242" t="n">
        <v>50600</v>
      </c>
      <c r="C13" s="242" t="n">
        <v>454394</v>
      </c>
      <c r="D13" s="242" t="n">
        <v>-600</v>
      </c>
      <c r="E13" s="243" t="n">
        <v>-1.17</v>
      </c>
      <c r="F13" s="242" t="n">
        <v>50800</v>
      </c>
      <c r="G13" s="242" t="n">
        <v>52400</v>
      </c>
      <c r="H13" s="242" t="n">
        <v>49250</v>
      </c>
      <c r="I13" s="242" t="n">
        <v>23086434100</v>
      </c>
      <c r="J13" s="242" t="n">
        <v>709157785600</v>
      </c>
      <c r="K13" s="242" t="n">
        <v>14014976</v>
      </c>
    </row>
    <row r="14">
      <c r="A14" s="408" t="n">
        <v>45394</v>
      </c>
      <c r="B14" s="242" t="n">
        <v>52900</v>
      </c>
      <c r="C14" s="242" t="n">
        <v>823329</v>
      </c>
      <c r="D14" s="242" t="n">
        <v>2300</v>
      </c>
      <c r="E14" s="243" t="n">
        <v>4.55</v>
      </c>
      <c r="F14" s="242" t="n">
        <v>51100</v>
      </c>
      <c r="G14" s="242" t="n">
        <v>54200</v>
      </c>
      <c r="H14" s="242" t="n">
        <v>49950</v>
      </c>
      <c r="I14" s="242" t="n">
        <v>43262134800</v>
      </c>
      <c r="J14" s="242" t="n">
        <v>741392230400</v>
      </c>
      <c r="K14" s="242" t="n">
        <v>14014976</v>
      </c>
    </row>
    <row r="15">
      <c r="A15" s="408" t="n">
        <v>45397</v>
      </c>
      <c r="B15" s="242" t="n">
        <v>49950</v>
      </c>
      <c r="C15" s="242" t="n">
        <v>311754</v>
      </c>
      <c r="D15" s="242" t="n">
        <v>-2950</v>
      </c>
      <c r="E15" s="243" t="n">
        <v>-5.58</v>
      </c>
      <c r="F15" s="242" t="n">
        <v>51200</v>
      </c>
      <c r="G15" s="242" t="n">
        <v>51500</v>
      </c>
      <c r="H15" s="242" t="n">
        <v>49850</v>
      </c>
      <c r="I15" s="242" t="n">
        <v>15713453450</v>
      </c>
      <c r="J15" s="242" t="n">
        <v>700048051200</v>
      </c>
      <c r="K15" s="242" t="n">
        <v>14014976</v>
      </c>
    </row>
    <row r="16">
      <c r="A16" s="408" t="n">
        <v>45398</v>
      </c>
      <c r="B16" s="242" t="n">
        <v>46200</v>
      </c>
      <c r="C16" s="242" t="n">
        <v>433136</v>
      </c>
      <c r="D16" s="242" t="n">
        <v>-3750</v>
      </c>
      <c r="E16" s="243" t="n">
        <v>-7.51</v>
      </c>
      <c r="F16" s="242" t="n">
        <v>48650</v>
      </c>
      <c r="G16" s="242" t="n">
        <v>49350</v>
      </c>
      <c r="H16" s="242" t="n">
        <v>45450</v>
      </c>
      <c r="I16" s="242" t="n">
        <v>20356437250</v>
      </c>
      <c r="J16" s="242" t="n">
        <v>647491891200</v>
      </c>
      <c r="K16" s="242" t="n">
        <v>14014976</v>
      </c>
    </row>
    <row r="17">
      <c r="A17" s="408" t="n">
        <v>45399</v>
      </c>
      <c r="B17" s="242" t="n">
        <v>49500</v>
      </c>
      <c r="C17" s="242" t="n">
        <v>2010961</v>
      </c>
      <c r="D17" s="242" t="n">
        <v>3300</v>
      </c>
      <c r="E17" s="243" t="n">
        <v>7.14</v>
      </c>
      <c r="F17" s="242" t="n">
        <v>46350</v>
      </c>
      <c r="G17" s="242" t="n">
        <v>53500</v>
      </c>
      <c r="H17" s="242" t="n">
        <v>46350</v>
      </c>
      <c r="I17" s="242" t="n">
        <v>102975728600</v>
      </c>
      <c r="J17" s="242" t="n">
        <v>693741312000</v>
      </c>
      <c r="K17" s="242" t="n">
        <v>14014976</v>
      </c>
    </row>
    <row r="18">
      <c r="A18" s="408" t="n">
        <v>45400</v>
      </c>
      <c r="B18" s="242" t="n">
        <v>51500</v>
      </c>
      <c r="C18" s="242" t="n">
        <v>583521</v>
      </c>
      <c r="D18" s="242" t="n">
        <v>2000</v>
      </c>
      <c r="E18" s="243" t="n">
        <v>4.04</v>
      </c>
      <c r="F18" s="242" t="n">
        <v>50600</v>
      </c>
      <c r="G18" s="242" t="n">
        <v>53100</v>
      </c>
      <c r="H18" s="242" t="n">
        <v>50100</v>
      </c>
      <c r="I18" s="242" t="n">
        <v>29970944700</v>
      </c>
      <c r="J18" s="242" t="n">
        <v>721771264000</v>
      </c>
      <c r="K18" s="242" t="n">
        <v>14014976</v>
      </c>
    </row>
    <row r="19">
      <c r="A19" s="408" t="n">
        <v>45401</v>
      </c>
      <c r="B19" s="242" t="n">
        <v>48800</v>
      </c>
      <c r="C19" s="242" t="n">
        <v>317077</v>
      </c>
      <c r="D19" s="242" t="n">
        <v>-2700</v>
      </c>
      <c r="E19" s="243" t="n">
        <v>-5.24</v>
      </c>
      <c r="F19" s="242" t="n">
        <v>50600</v>
      </c>
      <c r="G19" s="242" t="n">
        <v>50900</v>
      </c>
      <c r="H19" s="242" t="n">
        <v>47500</v>
      </c>
      <c r="I19" s="242" t="n">
        <v>15617805150</v>
      </c>
      <c r="J19" s="242" t="n">
        <v>683930828800</v>
      </c>
      <c r="K19" s="242" t="n">
        <v>14014976</v>
      </c>
    </row>
    <row r="20">
      <c r="A20" s="408" t="n">
        <v>45404</v>
      </c>
      <c r="B20" s="242" t="n">
        <v>48750</v>
      </c>
      <c r="C20" s="242" t="n">
        <v>191431</v>
      </c>
      <c r="D20" s="242" t="n">
        <v>-50</v>
      </c>
      <c r="E20" s="243" t="n">
        <v>-0.1</v>
      </c>
      <c r="F20" s="242" t="n">
        <v>48700</v>
      </c>
      <c r="G20" s="242" t="n">
        <v>50300</v>
      </c>
      <c r="H20" s="242" t="n">
        <v>48700</v>
      </c>
      <c r="I20" s="242" t="n">
        <v>9427114950</v>
      </c>
      <c r="J20" s="242" t="n">
        <v>683230080000</v>
      </c>
      <c r="K20" s="242" t="n">
        <v>14014976</v>
      </c>
    </row>
    <row r="21">
      <c r="A21" s="408" t="n">
        <v>45405</v>
      </c>
      <c r="B21" s="242" t="n">
        <v>48500</v>
      </c>
      <c r="C21" s="242" t="n">
        <v>170685</v>
      </c>
      <c r="D21" s="242" t="n">
        <v>-250</v>
      </c>
      <c r="E21" s="243" t="n">
        <v>-0.51</v>
      </c>
      <c r="F21" s="242" t="n">
        <v>49200</v>
      </c>
      <c r="G21" s="242" t="n">
        <v>50200</v>
      </c>
      <c r="H21" s="242" t="n">
        <v>48500</v>
      </c>
      <c r="I21" s="242" t="n">
        <v>8386483150</v>
      </c>
      <c r="J21" s="242" t="n">
        <v>679726336000</v>
      </c>
      <c r="K21" s="242" t="n">
        <v>14014976</v>
      </c>
    </row>
    <row r="22">
      <c r="A22" s="408" t="n">
        <v>45406</v>
      </c>
      <c r="B22" s="242" t="n">
        <v>48300</v>
      </c>
      <c r="C22" s="242" t="n">
        <v>183590</v>
      </c>
      <c r="D22" s="242" t="n">
        <v>-200</v>
      </c>
      <c r="E22" s="243" t="n">
        <v>-0.41</v>
      </c>
      <c r="F22" s="242" t="n">
        <v>48900</v>
      </c>
      <c r="G22" s="242" t="n">
        <v>49200</v>
      </c>
      <c r="H22" s="242" t="n">
        <v>48300</v>
      </c>
      <c r="I22" s="242" t="n">
        <v>8903379500</v>
      </c>
      <c r="J22" s="242" t="n">
        <v>676923340800</v>
      </c>
      <c r="K22" s="242" t="n">
        <v>14014976</v>
      </c>
    </row>
    <row r="23">
      <c r="A23" s="408" t="n">
        <v>45407</v>
      </c>
      <c r="B23" s="242" t="n">
        <v>46500</v>
      </c>
      <c r="C23" s="242" t="n">
        <v>229623</v>
      </c>
      <c r="D23" s="242" t="n">
        <v>-1800</v>
      </c>
      <c r="E23" s="243" t="n">
        <v>-3.73</v>
      </c>
      <c r="F23" s="242" t="n">
        <v>47700</v>
      </c>
      <c r="G23" s="242" t="n">
        <v>48550</v>
      </c>
      <c r="H23" s="242" t="n">
        <v>46400</v>
      </c>
      <c r="I23" s="242" t="n">
        <v>10803198250</v>
      </c>
      <c r="J23" s="242" t="n">
        <v>694960216500</v>
      </c>
      <c r="K23" s="242" t="n">
        <v>14945381</v>
      </c>
    </row>
    <row r="24">
      <c r="A24" s="408" t="n">
        <v>45408</v>
      </c>
      <c r="B24" s="242" t="n">
        <v>39300</v>
      </c>
      <c r="C24" s="242" t="n">
        <v>3244767</v>
      </c>
      <c r="D24" s="242" t="n">
        <v>-7200</v>
      </c>
      <c r="E24" s="243" t="n">
        <v>-15.48</v>
      </c>
      <c r="F24" s="242" t="n">
        <v>43800</v>
      </c>
      <c r="G24" s="242" t="n">
        <v>44300</v>
      </c>
      <c r="H24" s="242" t="n">
        <v>38900</v>
      </c>
      <c r="I24" s="242" t="n">
        <v>131284464150</v>
      </c>
      <c r="J24" s="242" t="n">
        <v>587353473300</v>
      </c>
      <c r="K24" s="242" t="n">
        <v>14945381</v>
      </c>
    </row>
    <row r="25">
      <c r="A25" s="408" t="n">
        <v>45411</v>
      </c>
      <c r="B25" s="242" t="n">
        <v>39300</v>
      </c>
      <c r="C25" s="242" t="n">
        <v>654195</v>
      </c>
      <c r="D25" s="242" t="n">
        <v>0</v>
      </c>
      <c r="E25" s="243" t="n">
        <v>0</v>
      </c>
      <c r="F25" s="242" t="n">
        <v>39450</v>
      </c>
      <c r="G25" s="242" t="n">
        <v>39600</v>
      </c>
      <c r="H25" s="242" t="n">
        <v>38600</v>
      </c>
      <c r="I25" s="242" t="n">
        <v>25535037650</v>
      </c>
      <c r="J25" s="242" t="n">
        <v>587353473300</v>
      </c>
      <c r="K25" s="242" t="n">
        <v>14945381</v>
      </c>
    </row>
    <row r="26">
      <c r="A26" s="408" t="n">
        <v>45412</v>
      </c>
      <c r="B26" s="242" t="n">
        <v>39200</v>
      </c>
      <c r="C26" s="242" t="n">
        <v>798634</v>
      </c>
      <c r="D26" s="242" t="n">
        <v>-100</v>
      </c>
      <c r="E26" s="243" t="n">
        <v>-0.25</v>
      </c>
      <c r="F26" s="242" t="n">
        <v>39700</v>
      </c>
      <c r="G26" s="242" t="n">
        <v>40900</v>
      </c>
      <c r="H26" s="242" t="n">
        <v>39000</v>
      </c>
      <c r="I26" s="242" t="n">
        <v>31808454250</v>
      </c>
      <c r="J26" s="242" t="n">
        <v>585858935200</v>
      </c>
      <c r="K26" s="242" t="n">
        <v>14945381</v>
      </c>
    </row>
    <row r="27">
      <c r="A27" s="408" t="n">
        <v>45414</v>
      </c>
      <c r="B27" s="242" t="n">
        <v>39200</v>
      </c>
      <c r="C27" s="242" t="n">
        <v>337751</v>
      </c>
      <c r="D27" s="242" t="n">
        <v>0</v>
      </c>
      <c r="E27" s="243" t="n">
        <v>0</v>
      </c>
      <c r="F27" s="242" t="n">
        <v>39050</v>
      </c>
      <c r="G27" s="242" t="n">
        <v>39850</v>
      </c>
      <c r="H27" s="242" t="n">
        <v>38900</v>
      </c>
      <c r="I27" s="242" t="n">
        <v>13264360800</v>
      </c>
      <c r="J27" s="242" t="n">
        <v>585858935200</v>
      </c>
      <c r="K27" s="242" t="n">
        <v>14945381</v>
      </c>
    </row>
    <row r="28">
      <c r="A28" s="408" t="n">
        <v>45415</v>
      </c>
      <c r="B28" s="242" t="n">
        <v>39300</v>
      </c>
      <c r="C28" s="242" t="n">
        <v>378016</v>
      </c>
      <c r="D28" s="242" t="n">
        <v>100</v>
      </c>
      <c r="E28" s="243" t="n">
        <v>0.26</v>
      </c>
      <c r="F28" s="242" t="n">
        <v>39800</v>
      </c>
      <c r="G28" s="242" t="n">
        <v>39950</v>
      </c>
      <c r="H28" s="242" t="n">
        <v>39150</v>
      </c>
      <c r="I28" s="242" t="n">
        <v>14911751100</v>
      </c>
      <c r="J28" s="242" t="n">
        <v>587353473300</v>
      </c>
      <c r="K28" s="242" t="n">
        <v>14945381</v>
      </c>
    </row>
    <row r="29">
      <c r="A29" s="408" t="n">
        <v>45419</v>
      </c>
      <c r="B29" s="242" t="n">
        <v>37900</v>
      </c>
      <c r="C29" s="242" t="n">
        <v>600598</v>
      </c>
      <c r="D29" s="242" t="n">
        <v>-1400</v>
      </c>
      <c r="E29" s="243" t="n">
        <v>-3.56</v>
      </c>
      <c r="F29" s="242" t="n">
        <v>39650</v>
      </c>
      <c r="G29" s="242" t="n">
        <v>39700</v>
      </c>
      <c r="H29" s="242" t="n">
        <v>37350</v>
      </c>
      <c r="I29" s="242" t="n">
        <v>23014798700</v>
      </c>
      <c r="J29" s="242" t="n">
        <v>566429939900</v>
      </c>
      <c r="K29" s="242" t="n">
        <v>14945381</v>
      </c>
    </row>
    <row r="30">
      <c r="A30" s="408" t="n">
        <v>45420</v>
      </c>
      <c r="B30" s="242" t="n">
        <v>37100</v>
      </c>
      <c r="C30" s="242" t="n">
        <v>589579</v>
      </c>
      <c r="D30" s="242" t="n">
        <v>-800</v>
      </c>
      <c r="E30" s="243" t="n">
        <v>-2.11</v>
      </c>
      <c r="F30" s="242" t="n">
        <v>38200</v>
      </c>
      <c r="G30" s="242" t="n">
        <v>38200</v>
      </c>
      <c r="H30" s="242" t="n">
        <v>35900</v>
      </c>
      <c r="I30" s="242" t="n">
        <v>21764112150</v>
      </c>
      <c r="J30" s="242" t="n">
        <v>554473635100</v>
      </c>
      <c r="K30" s="242" t="n">
        <v>14945381</v>
      </c>
    </row>
    <row r="31">
      <c r="A31" s="408" t="n">
        <v>45421</v>
      </c>
      <c r="B31" s="242" t="n">
        <v>35500</v>
      </c>
      <c r="C31" s="242" t="n">
        <v>497061</v>
      </c>
      <c r="D31" s="242" t="n">
        <v>-1600</v>
      </c>
      <c r="E31" s="243" t="n">
        <v>-4.31</v>
      </c>
      <c r="F31" s="242" t="n">
        <v>36950</v>
      </c>
      <c r="G31" s="242" t="n">
        <v>37000</v>
      </c>
      <c r="H31" s="242" t="n">
        <v>35500</v>
      </c>
      <c r="I31" s="242" t="n">
        <v>17854150900</v>
      </c>
      <c r="J31" s="242" t="n">
        <v>530561025500</v>
      </c>
      <c r="K31" s="242" t="n">
        <v>14945381</v>
      </c>
    </row>
    <row r="32">
      <c r="A32" s="408" t="n">
        <v>45422</v>
      </c>
      <c r="B32" s="242" t="n">
        <v>35700</v>
      </c>
      <c r="C32" s="242" t="n">
        <v>1513607</v>
      </c>
      <c r="D32" s="242" t="n">
        <v>200</v>
      </c>
      <c r="E32" s="243" t="n">
        <v>0.5600000000000001</v>
      </c>
      <c r="F32" s="242" t="n">
        <v>36950</v>
      </c>
      <c r="G32" s="242" t="n">
        <v>39400</v>
      </c>
      <c r="H32" s="242" t="n">
        <v>35650</v>
      </c>
      <c r="I32" s="242" t="n">
        <v>56841848750</v>
      </c>
      <c r="J32" s="242" t="n">
        <v>533550101700</v>
      </c>
      <c r="K32" s="242" t="n">
        <v>14945381</v>
      </c>
    </row>
    <row r="33">
      <c r="A33" s="408" t="n">
        <v>45425</v>
      </c>
      <c r="B33" s="242" t="n">
        <v>35200</v>
      </c>
      <c r="C33" s="242" t="n">
        <v>424214</v>
      </c>
      <c r="D33" s="242" t="n">
        <v>-500</v>
      </c>
      <c r="E33" s="243" t="n">
        <v>-1.4</v>
      </c>
      <c r="F33" s="242" t="n">
        <v>35850</v>
      </c>
      <c r="G33" s="242" t="n">
        <v>36700</v>
      </c>
      <c r="H33" s="242" t="n">
        <v>35000</v>
      </c>
      <c r="I33" s="242" t="n">
        <v>15135014050</v>
      </c>
      <c r="J33" s="242" t="n">
        <v>526077411200</v>
      </c>
      <c r="K33" s="242" t="n">
        <v>14945381</v>
      </c>
    </row>
    <row r="34">
      <c r="A34" s="408" t="n">
        <v>45426</v>
      </c>
      <c r="B34" s="242" t="n">
        <v>35950</v>
      </c>
      <c r="C34" s="242" t="n">
        <v>397911</v>
      </c>
      <c r="D34" s="242" t="n">
        <v>750</v>
      </c>
      <c r="E34" s="243" t="n">
        <v>2.13</v>
      </c>
      <c r="F34" s="242" t="n">
        <v>35200</v>
      </c>
      <c r="G34" s="242" t="n">
        <v>36500</v>
      </c>
      <c r="H34" s="242" t="n">
        <v>34650</v>
      </c>
      <c r="I34" s="242" t="n">
        <v>14160480700</v>
      </c>
      <c r="J34" s="242" t="n">
        <v>537286446950</v>
      </c>
      <c r="K34" s="242" t="n">
        <v>14945381</v>
      </c>
    </row>
    <row r="35">
      <c r="A35" s="408" t="n">
        <v>45428</v>
      </c>
      <c r="B35" s="242" t="n">
        <v>35800</v>
      </c>
      <c r="C35" s="242" t="n">
        <v>234316</v>
      </c>
      <c r="D35" s="242" t="n">
        <v>-150</v>
      </c>
      <c r="E35" s="243" t="n">
        <v>-0.42</v>
      </c>
      <c r="F35" s="242" t="n">
        <v>36500</v>
      </c>
      <c r="G35" s="242" t="n">
        <v>36600</v>
      </c>
      <c r="H35" s="242" t="n">
        <v>35600</v>
      </c>
      <c r="I35" s="242" t="n">
        <v>8438558200</v>
      </c>
      <c r="J35" s="242" t="n">
        <v>535044639800</v>
      </c>
      <c r="K35" s="242" t="n">
        <v>14945381</v>
      </c>
    </row>
    <row r="36">
      <c r="A36" s="408" t="n">
        <v>45429</v>
      </c>
      <c r="B36" s="242" t="n">
        <v>34650</v>
      </c>
      <c r="C36" s="242" t="n">
        <v>283501</v>
      </c>
      <c r="D36" s="242" t="n">
        <v>-1150</v>
      </c>
      <c r="E36" s="243" t="n">
        <v>-3.21</v>
      </c>
      <c r="F36" s="242" t="n">
        <v>35800</v>
      </c>
      <c r="G36" s="242" t="n">
        <v>35800</v>
      </c>
      <c r="H36" s="242" t="n">
        <v>34500</v>
      </c>
      <c r="I36" s="242" t="n">
        <v>9875524950</v>
      </c>
      <c r="J36" s="242" t="n">
        <v>517857451650</v>
      </c>
      <c r="K36" s="242" t="n">
        <v>14945381</v>
      </c>
    </row>
    <row r="37">
      <c r="A37" s="408" t="n">
        <v>45432</v>
      </c>
      <c r="B37" s="242" t="n">
        <v>33900</v>
      </c>
      <c r="C37" s="242" t="n">
        <v>461025</v>
      </c>
      <c r="D37" s="242" t="n">
        <v>-750</v>
      </c>
      <c r="E37" s="243" t="n">
        <v>-2.16</v>
      </c>
      <c r="F37" s="242" t="n">
        <v>34550</v>
      </c>
      <c r="G37" s="242" t="n">
        <v>35400</v>
      </c>
      <c r="H37" s="242" t="n">
        <v>33250</v>
      </c>
      <c r="I37" s="242" t="n">
        <v>15737928450</v>
      </c>
      <c r="J37" s="242" t="n">
        <v>506648415900</v>
      </c>
      <c r="K37" s="242" t="n">
        <v>14945381</v>
      </c>
    </row>
    <row r="38">
      <c r="A38" s="408" t="n">
        <v>45433</v>
      </c>
      <c r="B38" s="242" t="n">
        <v>33150</v>
      </c>
      <c r="C38" s="242" t="n">
        <v>237541</v>
      </c>
      <c r="D38" s="242" t="n">
        <v>-750</v>
      </c>
      <c r="E38" s="243" t="n">
        <v>-2.21</v>
      </c>
      <c r="F38" s="242" t="n">
        <v>33950</v>
      </c>
      <c r="G38" s="242" t="n">
        <v>34000</v>
      </c>
      <c r="H38" s="242" t="n">
        <v>33000</v>
      </c>
      <c r="I38" s="242" t="n">
        <v>7884733550</v>
      </c>
      <c r="J38" s="242" t="n">
        <v>495439380150</v>
      </c>
      <c r="K38" s="242" t="n">
        <v>14945381</v>
      </c>
    </row>
    <row r="39">
      <c r="A39" s="408" t="n">
        <v>45434</v>
      </c>
      <c r="B39" s="242" t="n">
        <v>37600</v>
      </c>
      <c r="C39" s="242" t="n">
        <v>4561406</v>
      </c>
      <c r="D39" s="242" t="n">
        <v>4450</v>
      </c>
      <c r="E39" s="243" t="n">
        <v>13.42</v>
      </c>
      <c r="F39" s="242" t="n">
        <v>33500</v>
      </c>
      <c r="G39" s="242" t="n">
        <v>40250</v>
      </c>
      <c r="H39" s="242" t="n">
        <v>33400</v>
      </c>
      <c r="I39" s="242" t="n">
        <v>172796977800</v>
      </c>
      <c r="J39" s="242" t="n">
        <v>561946325600</v>
      </c>
      <c r="K39" s="242" t="n">
        <v>14945381</v>
      </c>
    </row>
    <row r="40">
      <c r="A40" s="408" t="n">
        <v>45435</v>
      </c>
      <c r="B40" s="242" t="n">
        <v>39800</v>
      </c>
      <c r="C40" s="242" t="n">
        <v>1796212</v>
      </c>
      <c r="D40" s="242" t="n">
        <v>2200</v>
      </c>
      <c r="E40" s="243" t="n">
        <v>5.85</v>
      </c>
      <c r="F40" s="242" t="n">
        <v>36850</v>
      </c>
      <c r="G40" s="242" t="n">
        <v>39900</v>
      </c>
      <c r="H40" s="242" t="n">
        <v>35700</v>
      </c>
      <c r="I40" s="242" t="n">
        <v>68769434200</v>
      </c>
      <c r="J40" s="242" t="n">
        <v>594826163800</v>
      </c>
      <c r="K40" s="242" t="n">
        <v>14945381</v>
      </c>
    </row>
    <row r="41">
      <c r="A41" s="408" t="n">
        <v>45436</v>
      </c>
      <c r="B41" s="242" t="n">
        <v>38250</v>
      </c>
      <c r="C41" s="242" t="n">
        <v>650682</v>
      </c>
      <c r="D41" s="242" t="n">
        <v>-1550</v>
      </c>
      <c r="E41" s="243" t="n">
        <v>-3.89</v>
      </c>
      <c r="F41" s="242" t="n">
        <v>39000</v>
      </c>
      <c r="G41" s="242" t="n">
        <v>39850</v>
      </c>
      <c r="H41" s="242" t="n">
        <v>37650</v>
      </c>
      <c r="I41" s="242" t="n">
        <v>25014078350</v>
      </c>
      <c r="J41" s="242" t="n">
        <v>571660823250</v>
      </c>
      <c r="K41" s="242" t="n">
        <v>14945381</v>
      </c>
    </row>
    <row r="42">
      <c r="A42" s="408" t="n">
        <v>45439</v>
      </c>
      <c r="B42" s="242" t="n">
        <v>39000</v>
      </c>
      <c r="C42" s="242" t="n">
        <v>570558</v>
      </c>
      <c r="D42" s="242" t="n">
        <v>750</v>
      </c>
      <c r="E42" s="243" t="n">
        <v>1.96</v>
      </c>
      <c r="F42" s="242" t="n">
        <v>38100</v>
      </c>
      <c r="G42" s="242" t="n">
        <v>39150</v>
      </c>
      <c r="H42" s="242" t="n">
        <v>37200</v>
      </c>
      <c r="I42" s="242" t="n">
        <v>21869661400</v>
      </c>
      <c r="J42" s="242" t="n">
        <v>582869859000</v>
      </c>
      <c r="K42" s="242" t="n">
        <v>14945381</v>
      </c>
    </row>
    <row r="43">
      <c r="A43" s="408" t="n">
        <v>45440</v>
      </c>
      <c r="B43" s="242" t="n">
        <v>38600</v>
      </c>
      <c r="C43" s="242" t="n">
        <v>1130844</v>
      </c>
      <c r="D43" s="242" t="n">
        <v>-400</v>
      </c>
      <c r="E43" s="243" t="n">
        <v>-1.03</v>
      </c>
      <c r="F43" s="242" t="n">
        <v>39400</v>
      </c>
      <c r="G43" s="242" t="n">
        <v>40950</v>
      </c>
      <c r="H43" s="242" t="n">
        <v>38300</v>
      </c>
      <c r="I43" s="242" t="n">
        <v>44786478450</v>
      </c>
      <c r="J43" s="242" t="n">
        <v>576891706600</v>
      </c>
      <c r="K43" s="242" t="n">
        <v>14945381</v>
      </c>
    </row>
    <row r="44">
      <c r="A44" s="408" t="n">
        <v>45441</v>
      </c>
      <c r="B44" s="242" t="n">
        <v>37100</v>
      </c>
      <c r="C44" s="242" t="n">
        <v>404805</v>
      </c>
      <c r="D44" s="242" t="n">
        <v>-1500</v>
      </c>
      <c r="E44" s="243" t="n">
        <v>-3.89</v>
      </c>
      <c r="F44" s="242" t="n">
        <v>38500</v>
      </c>
      <c r="G44" s="242" t="n">
        <v>38500</v>
      </c>
      <c r="H44" s="242" t="n">
        <v>37050</v>
      </c>
      <c r="I44" s="242" t="n">
        <v>15219448050</v>
      </c>
      <c r="J44" s="242" t="n">
        <v>554473635100</v>
      </c>
      <c r="K44" s="242" t="n">
        <v>14945381</v>
      </c>
    </row>
    <row r="45">
      <c r="A45" s="408" t="n">
        <v>45442</v>
      </c>
      <c r="B45" s="242" t="n">
        <v>35350</v>
      </c>
      <c r="C45" s="242" t="n">
        <v>321665</v>
      </c>
      <c r="D45" s="242" t="n">
        <v>-1750</v>
      </c>
      <c r="E45" s="243" t="n">
        <v>-4.72</v>
      </c>
      <c r="F45" s="242" t="n">
        <v>36500</v>
      </c>
      <c r="G45" s="242" t="n">
        <v>36850</v>
      </c>
      <c r="H45" s="242" t="n">
        <v>35100</v>
      </c>
      <c r="I45" s="242" t="n">
        <v>11486972850</v>
      </c>
      <c r="J45" s="242" t="n">
        <v>528319218350</v>
      </c>
      <c r="K45" s="242" t="n">
        <v>14945381</v>
      </c>
    </row>
    <row r="46">
      <c r="A46" s="408" t="n">
        <v>45443</v>
      </c>
      <c r="B46" s="242" t="n">
        <v>38950</v>
      </c>
      <c r="C46" s="242" t="n">
        <v>1312681</v>
      </c>
      <c r="D46" s="242" t="n">
        <v>3600</v>
      </c>
      <c r="E46" s="243" t="n">
        <v>10.18</v>
      </c>
      <c r="F46" s="242" t="n">
        <v>35600</v>
      </c>
      <c r="G46" s="242" t="n">
        <v>39500</v>
      </c>
      <c r="H46" s="242" t="n">
        <v>35600</v>
      </c>
      <c r="I46" s="242" t="n">
        <v>50390026100</v>
      </c>
      <c r="J46" s="242" t="n">
        <v>582122589950</v>
      </c>
      <c r="K46" s="242" t="n">
        <v>14945381</v>
      </c>
    </row>
    <row r="47">
      <c r="A47" s="408" t="n">
        <v>45446</v>
      </c>
      <c r="B47" s="242" t="n">
        <v>38200</v>
      </c>
      <c r="C47" s="242" t="n">
        <v>406446</v>
      </c>
      <c r="D47" s="242" t="n">
        <v>-750</v>
      </c>
      <c r="E47" s="243" t="n">
        <v>-1.93</v>
      </c>
      <c r="F47" s="242" t="n">
        <v>39050</v>
      </c>
      <c r="G47" s="242" t="n">
        <v>39600</v>
      </c>
      <c r="H47" s="242" t="n">
        <v>37700</v>
      </c>
      <c r="I47" s="242" t="n">
        <v>15636586050</v>
      </c>
      <c r="J47" s="242" t="n">
        <v>570913554200</v>
      </c>
      <c r="K47" s="242" t="n">
        <v>14945381</v>
      </c>
    </row>
    <row r="48">
      <c r="A48" s="408" t="n">
        <v>45447</v>
      </c>
      <c r="B48" s="242" t="n">
        <v>36800</v>
      </c>
      <c r="C48" s="242" t="n">
        <v>378661</v>
      </c>
      <c r="D48" s="242" t="n">
        <v>-1400</v>
      </c>
      <c r="E48" s="243" t="n">
        <v>-3.66</v>
      </c>
      <c r="F48" s="242" t="n">
        <v>38100</v>
      </c>
      <c r="G48" s="242" t="n">
        <v>39200</v>
      </c>
      <c r="H48" s="242" t="n">
        <v>36500</v>
      </c>
      <c r="I48" s="242" t="n">
        <v>14360751450</v>
      </c>
      <c r="J48" s="242" t="n">
        <v>549990020800</v>
      </c>
      <c r="K48" s="242" t="n">
        <v>14945381</v>
      </c>
    </row>
    <row r="49">
      <c r="A49" s="408" t="n">
        <v>45448</v>
      </c>
      <c r="B49" s="242" t="n">
        <v>36800</v>
      </c>
      <c r="C49" s="242" t="n">
        <v>212736</v>
      </c>
      <c r="D49" s="242" t="n">
        <v>0</v>
      </c>
      <c r="E49" s="243" t="n">
        <v>0</v>
      </c>
      <c r="F49" s="242" t="n">
        <v>37300</v>
      </c>
      <c r="G49" s="242" t="n">
        <v>37350</v>
      </c>
      <c r="H49" s="242" t="n">
        <v>36050</v>
      </c>
      <c r="I49" s="242" t="n">
        <v>7809854200</v>
      </c>
      <c r="J49" s="242" t="n">
        <v>549990020800</v>
      </c>
      <c r="K49" s="242" t="n">
        <v>14945381</v>
      </c>
    </row>
    <row r="50">
      <c r="A50" s="408" t="n">
        <v>45450</v>
      </c>
      <c r="B50" s="242" t="n">
        <v>37550</v>
      </c>
      <c r="C50" s="242" t="n">
        <v>256505</v>
      </c>
      <c r="D50" s="242" t="n">
        <v>750</v>
      </c>
      <c r="E50" s="243" t="n">
        <v>2.04</v>
      </c>
      <c r="F50" s="242" t="n">
        <v>37000</v>
      </c>
      <c r="G50" s="242" t="n">
        <v>38200</v>
      </c>
      <c r="H50" s="242" t="n">
        <v>37000</v>
      </c>
      <c r="I50" s="242" t="n">
        <v>9658515150</v>
      </c>
      <c r="J50" s="242" t="n">
        <v>561199056550</v>
      </c>
      <c r="K50" s="242" t="n">
        <v>14945381</v>
      </c>
    </row>
    <row r="51">
      <c r="A51" s="408" t="n">
        <v>45453</v>
      </c>
      <c r="B51" s="242" t="n">
        <v>36300</v>
      </c>
      <c r="C51" s="242" t="n">
        <v>298454</v>
      </c>
      <c r="D51" s="242" t="n">
        <v>-1250</v>
      </c>
      <c r="E51" s="243" t="n">
        <v>-3.33</v>
      </c>
      <c r="F51" s="242" t="n">
        <v>38000</v>
      </c>
      <c r="G51" s="242" t="n">
        <v>38700</v>
      </c>
      <c r="H51" s="242" t="n">
        <v>36250</v>
      </c>
      <c r="I51" s="242" t="n">
        <v>11071126250</v>
      </c>
      <c r="J51" s="242" t="n">
        <v>542517330300</v>
      </c>
      <c r="K51" s="242" t="n">
        <v>14945381</v>
      </c>
    </row>
    <row r="52">
      <c r="A52" s="408" t="n">
        <v>45454</v>
      </c>
      <c r="B52" s="242" t="n">
        <v>36800</v>
      </c>
      <c r="C52" s="242" t="n">
        <v>291116</v>
      </c>
      <c r="D52" s="242" t="n">
        <v>500</v>
      </c>
      <c r="E52" s="243" t="n">
        <v>1.38</v>
      </c>
      <c r="F52" s="242" t="n">
        <v>36300</v>
      </c>
      <c r="G52" s="242" t="n">
        <v>37650</v>
      </c>
      <c r="H52" s="242" t="n">
        <v>35700</v>
      </c>
      <c r="I52" s="242" t="n">
        <v>10733421700</v>
      </c>
      <c r="J52" s="242" t="n">
        <v>549990020800</v>
      </c>
      <c r="K52" s="242" t="n">
        <v>14945381</v>
      </c>
    </row>
    <row r="53">
      <c r="A53" s="408" t="n">
        <v>45455</v>
      </c>
      <c r="B53" s="242" t="n">
        <v>37950</v>
      </c>
      <c r="C53" s="242" t="n">
        <v>1055013</v>
      </c>
      <c r="D53" s="242" t="n">
        <v>1150</v>
      </c>
      <c r="E53" s="243" t="n">
        <v>3.13</v>
      </c>
      <c r="F53" s="242" t="n">
        <v>36950</v>
      </c>
      <c r="G53" s="242" t="n">
        <v>39850</v>
      </c>
      <c r="H53" s="242" t="n">
        <v>36100</v>
      </c>
      <c r="I53" s="242" t="n">
        <v>40815955850</v>
      </c>
      <c r="J53" s="242" t="n">
        <v>567177208950</v>
      </c>
      <c r="K53" s="242" t="n">
        <v>14945381</v>
      </c>
    </row>
    <row r="54">
      <c r="A54" s="408" t="n">
        <v>45456</v>
      </c>
      <c r="B54" s="242" t="n">
        <v>38450</v>
      </c>
      <c r="C54" s="242" t="n">
        <v>430624</v>
      </c>
      <c r="D54" s="242" t="n">
        <v>500</v>
      </c>
      <c r="E54" s="243" t="n">
        <v>1.32</v>
      </c>
      <c r="F54" s="242" t="n">
        <v>38150</v>
      </c>
      <c r="G54" s="242" t="n">
        <v>39200</v>
      </c>
      <c r="H54" s="242" t="n">
        <v>37500</v>
      </c>
      <c r="I54" s="242" t="n">
        <v>16503612100</v>
      </c>
      <c r="J54" s="242" t="n">
        <v>574649899450</v>
      </c>
      <c r="K54" s="242" t="n">
        <v>14945381</v>
      </c>
    </row>
    <row r="55">
      <c r="A55" s="408" t="n">
        <v>45457</v>
      </c>
      <c r="B55" s="242" t="n">
        <v>39050</v>
      </c>
      <c r="C55" s="242" t="n">
        <v>487514</v>
      </c>
      <c r="D55" s="242" t="n">
        <v>600</v>
      </c>
      <c r="E55" s="243" t="n">
        <v>1.56</v>
      </c>
      <c r="F55" s="242" t="n">
        <v>38550</v>
      </c>
      <c r="G55" s="242" t="n">
        <v>39500</v>
      </c>
      <c r="H55" s="242" t="n">
        <v>38000</v>
      </c>
      <c r="I55" s="242" t="n">
        <v>18893631650</v>
      </c>
      <c r="J55" s="242" t="n">
        <v>583617128050</v>
      </c>
      <c r="K55" s="242" t="n">
        <v>14945381</v>
      </c>
    </row>
    <row r="56">
      <c r="A56" s="408" t="n">
        <v>45460</v>
      </c>
      <c r="B56" s="242" t="n">
        <v>37700</v>
      </c>
      <c r="C56" s="242" t="n">
        <v>361836</v>
      </c>
      <c r="D56" s="242" t="n">
        <v>-1350</v>
      </c>
      <c r="E56" s="243" t="n">
        <v>-3.46</v>
      </c>
      <c r="F56" s="242" t="n">
        <v>39400</v>
      </c>
      <c r="G56" s="242" t="n">
        <v>39550</v>
      </c>
      <c r="H56" s="242" t="n">
        <v>37650</v>
      </c>
      <c r="I56" s="242" t="n">
        <v>13926155500</v>
      </c>
      <c r="J56" s="242" t="n">
        <v>563440863700</v>
      </c>
      <c r="K56" s="242" t="n">
        <v>14945381</v>
      </c>
    </row>
    <row r="57">
      <c r="A57" s="408" t="n">
        <v>45461</v>
      </c>
      <c r="B57" s="242" t="n">
        <v>38350</v>
      </c>
      <c r="C57" s="242" t="n">
        <v>258267</v>
      </c>
      <c r="D57" s="242" t="n">
        <v>650</v>
      </c>
      <c r="E57" s="243" t="n">
        <v>1.72</v>
      </c>
      <c r="F57" s="242" t="n">
        <v>38100</v>
      </c>
      <c r="G57" s="242" t="n">
        <v>38600</v>
      </c>
      <c r="H57" s="242" t="n">
        <v>37250</v>
      </c>
      <c r="I57" s="242" t="n">
        <v>9817556200</v>
      </c>
      <c r="J57" s="242" t="n">
        <v>573155361350</v>
      </c>
      <c r="K57" s="242" t="n">
        <v>14945381</v>
      </c>
    </row>
    <row r="58">
      <c r="A58" s="408" t="n">
        <v>45462</v>
      </c>
      <c r="B58" s="242" t="n">
        <v>36750</v>
      </c>
      <c r="C58" s="242" t="n">
        <v>330696</v>
      </c>
      <c r="D58" s="242" t="n">
        <v>-1600</v>
      </c>
      <c r="E58" s="243" t="n">
        <v>-4.17</v>
      </c>
      <c r="F58" s="242" t="n">
        <v>38400</v>
      </c>
      <c r="G58" s="242" t="n">
        <v>38450</v>
      </c>
      <c r="H58" s="242" t="n">
        <v>36350</v>
      </c>
      <c r="I58" s="242" t="n">
        <v>12251453950</v>
      </c>
      <c r="J58" s="242" t="n">
        <v>549242751750</v>
      </c>
      <c r="K58" s="242" t="n">
        <v>14945381</v>
      </c>
    </row>
    <row r="59">
      <c r="A59" s="408" t="n">
        <v>45463</v>
      </c>
      <c r="B59" s="242" t="n">
        <v>36100</v>
      </c>
      <c r="C59" s="242" t="n">
        <v>181872</v>
      </c>
      <c r="D59" s="242" t="n">
        <v>-650</v>
      </c>
      <c r="E59" s="243" t="n">
        <v>-1.77</v>
      </c>
      <c r="F59" s="242" t="n">
        <v>36750</v>
      </c>
      <c r="G59" s="242" t="n">
        <v>37050</v>
      </c>
      <c r="H59" s="242" t="n">
        <v>35800</v>
      </c>
      <c r="I59" s="242" t="n">
        <v>6594072350</v>
      </c>
      <c r="J59" s="242" t="n">
        <v>539528254100</v>
      </c>
      <c r="K59" s="242" t="n">
        <v>14945381</v>
      </c>
    </row>
    <row r="60">
      <c r="A60" s="408" t="n">
        <v>45464</v>
      </c>
      <c r="B60" s="242" t="n">
        <v>35800</v>
      </c>
      <c r="C60" s="242" t="n">
        <v>148776</v>
      </c>
      <c r="D60" s="242" t="n">
        <v>-300</v>
      </c>
      <c r="E60" s="243" t="n">
        <v>-0.83</v>
      </c>
      <c r="F60" s="242" t="n">
        <v>35700</v>
      </c>
      <c r="G60" s="242" t="n">
        <v>36550</v>
      </c>
      <c r="H60" s="242" t="n">
        <v>35300</v>
      </c>
      <c r="I60" s="242" t="n">
        <v>5325411750</v>
      </c>
      <c r="J60" s="242" t="n">
        <v>535044639800</v>
      </c>
      <c r="K60" s="242" t="n">
        <v>14945381</v>
      </c>
    </row>
    <row r="61">
      <c r="A61" s="408" t="n">
        <v>45467</v>
      </c>
      <c r="B61" s="242" t="n">
        <v>35250</v>
      </c>
      <c r="C61" s="242" t="n">
        <v>168617</v>
      </c>
      <c r="D61" s="242" t="n">
        <v>-550</v>
      </c>
      <c r="E61" s="243" t="n">
        <v>-1.54</v>
      </c>
      <c r="F61" s="242" t="n">
        <v>35800</v>
      </c>
      <c r="G61" s="242" t="n">
        <v>36600</v>
      </c>
      <c r="H61" s="242" t="n">
        <v>35100</v>
      </c>
      <c r="I61" s="242" t="n">
        <v>6023509400</v>
      </c>
      <c r="J61" s="242" t="n">
        <v>526824680250</v>
      </c>
      <c r="K61" s="242" t="n">
        <v>14945381</v>
      </c>
    </row>
    <row r="62">
      <c r="A62" s="408" t="n">
        <v>45468</v>
      </c>
      <c r="B62" s="242" t="n">
        <v>34650</v>
      </c>
      <c r="C62" s="242" t="n">
        <v>113209</v>
      </c>
      <c r="D62" s="242" t="n">
        <v>-600</v>
      </c>
      <c r="E62" s="243" t="n">
        <v>-1.7</v>
      </c>
      <c r="F62" s="242" t="n">
        <v>35300</v>
      </c>
      <c r="G62" s="242" t="n">
        <v>35550</v>
      </c>
      <c r="H62" s="242" t="n">
        <v>34500</v>
      </c>
      <c r="I62" s="242" t="n">
        <v>3939895100</v>
      </c>
      <c r="J62" s="242" t="n">
        <v>517857451650</v>
      </c>
      <c r="K62" s="242" t="n">
        <v>14945381</v>
      </c>
    </row>
    <row r="63">
      <c r="A63" s="408" t="n">
        <v>45469</v>
      </c>
      <c r="B63" s="242" t="n">
        <v>33900</v>
      </c>
      <c r="C63" s="242" t="n">
        <v>223017</v>
      </c>
      <c r="D63" s="242" t="n">
        <v>-750</v>
      </c>
      <c r="E63" s="243" t="n">
        <v>-2.16</v>
      </c>
      <c r="F63" s="242" t="n">
        <v>33550</v>
      </c>
      <c r="G63" s="242" t="n">
        <v>34350</v>
      </c>
      <c r="H63" s="242" t="n">
        <v>33400</v>
      </c>
      <c r="I63" s="242" t="n">
        <v>7560895600</v>
      </c>
      <c r="J63" s="242" t="n">
        <v>506648415900</v>
      </c>
      <c r="K63" s="242" t="n">
        <v>14945381</v>
      </c>
    </row>
    <row r="64">
      <c r="A64" s="408" t="n">
        <v>45470</v>
      </c>
      <c r="B64" s="242" t="n">
        <v>33900</v>
      </c>
      <c r="C64" s="242" t="n">
        <v>260868</v>
      </c>
      <c r="D64" s="242" t="n">
        <v>0</v>
      </c>
      <c r="E64" s="243" t="n">
        <v>0</v>
      </c>
      <c r="F64" s="242" t="n">
        <v>34150</v>
      </c>
      <c r="G64" s="242" t="n">
        <v>35550</v>
      </c>
      <c r="H64" s="242" t="n">
        <v>33650</v>
      </c>
      <c r="I64" s="242" t="n">
        <v>8995437950</v>
      </c>
      <c r="J64" s="242" t="n">
        <v>506648415900</v>
      </c>
      <c r="K64" s="242" t="n">
        <v>14945381</v>
      </c>
    </row>
    <row r="65">
      <c r="A65" s="408" t="n">
        <v>45471</v>
      </c>
      <c r="B65" s="242" t="n">
        <v>33900</v>
      </c>
      <c r="C65" s="242" t="n">
        <v>235569</v>
      </c>
      <c r="D65" s="242" t="n">
        <v>0</v>
      </c>
      <c r="E65" s="243" t="n">
        <v>0</v>
      </c>
      <c r="F65" s="242" t="n">
        <v>34050</v>
      </c>
      <c r="G65" s="242" t="n">
        <v>34400</v>
      </c>
      <c r="H65" s="242" t="n">
        <v>33900</v>
      </c>
      <c r="I65" s="242" t="n">
        <v>7750294200</v>
      </c>
      <c r="J65" s="242" t="n">
        <v>506648415900</v>
      </c>
      <c r="K65" s="242" t="n">
        <v>14945381</v>
      </c>
    </row>
    <row r="66">
      <c r="A66" s="408" t="n">
        <v>45474</v>
      </c>
      <c r="B66" s="242" t="n">
        <v>33700</v>
      </c>
      <c r="C66" s="242" t="n">
        <v>197528</v>
      </c>
      <c r="D66" s="242" t="n">
        <v>-200</v>
      </c>
      <c r="E66" s="243" t="n">
        <v>-0.59</v>
      </c>
      <c r="F66" s="242" t="n">
        <v>34150</v>
      </c>
      <c r="G66" s="242" t="n">
        <v>34800</v>
      </c>
      <c r="H66" s="242" t="n">
        <v>33550</v>
      </c>
      <c r="I66" s="242" t="n">
        <v>6711596250</v>
      </c>
      <c r="J66" s="242" t="n">
        <v>503659339700</v>
      </c>
      <c r="K66" s="242" t="n">
        <v>14945381</v>
      </c>
    </row>
    <row r="67">
      <c r="A67" s="408" t="n">
        <v>45475</v>
      </c>
      <c r="B67" s="242" t="n">
        <v>31850</v>
      </c>
      <c r="C67" s="242" t="n">
        <v>268564</v>
      </c>
      <c r="D67" s="242" t="n">
        <v>-1850</v>
      </c>
      <c r="E67" s="243" t="n">
        <v>-5.49</v>
      </c>
      <c r="F67" s="242" t="n">
        <v>33700</v>
      </c>
      <c r="G67" s="242" t="n">
        <v>34450</v>
      </c>
      <c r="H67" s="242" t="n">
        <v>31600</v>
      </c>
      <c r="I67" s="242" t="n">
        <v>8704469350</v>
      </c>
      <c r="J67" s="242" t="n">
        <v>476010384850</v>
      </c>
      <c r="K67" s="242" t="n">
        <v>14945381</v>
      </c>
    </row>
    <row r="68">
      <c r="A68" s="408" t="n">
        <v>45476</v>
      </c>
      <c r="B68" s="242" t="n">
        <v>30950</v>
      </c>
      <c r="C68" s="242" t="n">
        <v>231817</v>
      </c>
      <c r="D68" s="242" t="n">
        <v>-900</v>
      </c>
      <c r="E68" s="243" t="n">
        <v>-2.83</v>
      </c>
      <c r="F68" s="242" t="n">
        <v>32000</v>
      </c>
      <c r="G68" s="242" t="n">
        <v>32300</v>
      </c>
      <c r="H68" s="242" t="n">
        <v>30300</v>
      </c>
      <c r="I68" s="242" t="n">
        <v>7163309000</v>
      </c>
      <c r="J68" s="242" t="n">
        <v>462559541950</v>
      </c>
      <c r="K68" s="242" t="n">
        <v>14945381</v>
      </c>
    </row>
    <row r="69">
      <c r="A69" s="408" t="n">
        <v>45477</v>
      </c>
      <c r="B69" s="242" t="n">
        <v>30850</v>
      </c>
      <c r="C69" s="242" t="n">
        <v>109152</v>
      </c>
      <c r="D69" s="242" t="n">
        <v>-100</v>
      </c>
      <c r="E69" s="243" t="n">
        <v>-0.32</v>
      </c>
      <c r="F69" s="242" t="n">
        <v>31100</v>
      </c>
      <c r="G69" s="242" t="n">
        <v>31250</v>
      </c>
      <c r="H69" s="242" t="n">
        <v>30550</v>
      </c>
      <c r="I69" s="242" t="n">
        <v>3372277850</v>
      </c>
      <c r="J69" s="242" t="n">
        <v>461065003850</v>
      </c>
      <c r="K69" s="242" t="n">
        <v>14945381</v>
      </c>
    </row>
    <row r="70">
      <c r="A70" s="408" t="n">
        <v>45478</v>
      </c>
      <c r="B70" s="242" t="n">
        <v>30750</v>
      </c>
      <c r="C70" s="242" t="n">
        <v>358768</v>
      </c>
      <c r="D70" s="242" t="n">
        <v>-100</v>
      </c>
      <c r="E70" s="243" t="n">
        <v>-0.32</v>
      </c>
      <c r="F70" s="242" t="n">
        <v>31450</v>
      </c>
      <c r="G70" s="242" t="n">
        <v>32950</v>
      </c>
      <c r="H70" s="242" t="n">
        <v>30700</v>
      </c>
      <c r="I70" s="242" t="n">
        <v>11382348350</v>
      </c>
      <c r="J70" s="242" t="n">
        <v>459570465750</v>
      </c>
      <c r="K70" s="242" t="n">
        <v>14945381</v>
      </c>
    </row>
    <row r="71">
      <c r="A71" s="408" t="n">
        <v>45481</v>
      </c>
      <c r="B71" s="242" t="n">
        <v>31500</v>
      </c>
      <c r="C71" s="242" t="n">
        <v>106364</v>
      </c>
      <c r="D71" s="242" t="n">
        <v>750</v>
      </c>
      <c r="E71" s="243" t="n">
        <v>2.44</v>
      </c>
      <c r="F71" s="242" t="n">
        <v>30750</v>
      </c>
      <c r="G71" s="242" t="n">
        <v>31550</v>
      </c>
      <c r="H71" s="242" t="n">
        <v>30650</v>
      </c>
      <c r="I71" s="242" t="n">
        <v>3319804100</v>
      </c>
      <c r="J71" s="242" t="n">
        <v>470779501500</v>
      </c>
      <c r="K71" s="242" t="n">
        <v>14945381</v>
      </c>
    </row>
    <row r="72">
      <c r="A72" s="408" t="n">
        <v>45482</v>
      </c>
      <c r="B72" s="242" t="n">
        <v>32100</v>
      </c>
      <c r="C72" s="242" t="n">
        <v>124347</v>
      </c>
      <c r="D72" s="242" t="n">
        <v>600</v>
      </c>
      <c r="E72" s="243" t="n">
        <v>1.9</v>
      </c>
      <c r="F72" s="242" t="n">
        <v>31700</v>
      </c>
      <c r="G72" s="242" t="n">
        <v>32450</v>
      </c>
      <c r="H72" s="242" t="n">
        <v>31300</v>
      </c>
      <c r="I72" s="242" t="n">
        <v>3972712250</v>
      </c>
      <c r="J72" s="242" t="n">
        <v>479746730100</v>
      </c>
      <c r="K72" s="242" t="n">
        <v>14945381</v>
      </c>
    </row>
    <row r="73">
      <c r="A73" s="408" t="n">
        <v>45483</v>
      </c>
      <c r="B73" s="242" t="n">
        <v>32550</v>
      </c>
      <c r="C73" s="242" t="n">
        <v>184018</v>
      </c>
      <c r="D73" s="242" t="n">
        <v>450</v>
      </c>
      <c r="E73" s="243" t="n">
        <v>1.4</v>
      </c>
      <c r="F73" s="242" t="n">
        <v>32000</v>
      </c>
      <c r="G73" s="242" t="n">
        <v>33150</v>
      </c>
      <c r="H73" s="242" t="n">
        <v>31050</v>
      </c>
      <c r="I73" s="242" t="n">
        <v>5871927150</v>
      </c>
      <c r="J73" s="242" t="n">
        <v>486472151550</v>
      </c>
      <c r="K73" s="242" t="n">
        <v>14945381</v>
      </c>
    </row>
    <row r="74">
      <c r="A74" s="408" t="n">
        <v>45484</v>
      </c>
      <c r="B74" s="242" t="n">
        <v>32350</v>
      </c>
      <c r="C74" s="242" t="n">
        <v>228689</v>
      </c>
      <c r="D74" s="242" t="n">
        <v>-200</v>
      </c>
      <c r="E74" s="243" t="n">
        <v>-0.61</v>
      </c>
      <c r="F74" s="242" t="n">
        <v>32550</v>
      </c>
      <c r="G74" s="242" t="n">
        <v>33700</v>
      </c>
      <c r="H74" s="242" t="n">
        <v>32000</v>
      </c>
      <c r="I74" s="242" t="n">
        <v>7511143400</v>
      </c>
      <c r="J74" s="242" t="n">
        <v>483483075350</v>
      </c>
      <c r="K74" s="242" t="n">
        <v>14945381</v>
      </c>
    </row>
    <row r="75">
      <c r="A75" s="408" t="n">
        <v>45485</v>
      </c>
      <c r="B75" s="242" t="n">
        <v>32600</v>
      </c>
      <c r="C75" s="242" t="n">
        <v>1794076</v>
      </c>
      <c r="D75" s="242" t="n">
        <v>250</v>
      </c>
      <c r="E75" s="243" t="n">
        <v>0.77</v>
      </c>
      <c r="F75" s="242" t="n">
        <v>34050</v>
      </c>
      <c r="G75" s="242" t="n">
        <v>37350</v>
      </c>
      <c r="H75" s="242" t="n">
        <v>32600</v>
      </c>
      <c r="I75" s="242" t="n">
        <v>63115059600</v>
      </c>
      <c r="J75" s="242" t="n">
        <v>487219420600</v>
      </c>
      <c r="K75" s="242" t="n">
        <v>14945381</v>
      </c>
    </row>
    <row r="76">
      <c r="A76" s="408" t="n">
        <v>45488</v>
      </c>
      <c r="B76" s="242" t="n">
        <v>31950</v>
      </c>
      <c r="C76" s="242" t="n">
        <v>187009</v>
      </c>
      <c r="D76" s="242" t="n">
        <v>-650</v>
      </c>
      <c r="E76" s="243" t="n">
        <v>-1.99</v>
      </c>
      <c r="F76" s="242" t="n">
        <v>32700</v>
      </c>
      <c r="G76" s="242" t="n">
        <v>32800</v>
      </c>
      <c r="H76" s="242" t="n">
        <v>31500</v>
      </c>
      <c r="I76" s="242" t="n">
        <v>5959333000</v>
      </c>
      <c r="J76" s="242" t="n">
        <v>477504922950</v>
      </c>
      <c r="K76" s="242" t="n">
        <v>14945381</v>
      </c>
    </row>
    <row r="77">
      <c r="A77" s="408" t="n">
        <v>45489</v>
      </c>
      <c r="B77" s="242" t="n">
        <v>30700</v>
      </c>
      <c r="C77" s="242" t="n">
        <v>249615</v>
      </c>
      <c r="D77" s="242" t="n">
        <v>-1250</v>
      </c>
      <c r="E77" s="243" t="n">
        <v>-3.91</v>
      </c>
      <c r="F77" s="242" t="n">
        <v>31850</v>
      </c>
      <c r="G77" s="242" t="n">
        <v>32550</v>
      </c>
      <c r="H77" s="242" t="n">
        <v>30700</v>
      </c>
      <c r="I77" s="242" t="n">
        <v>7783216100</v>
      </c>
      <c r="J77" s="242" t="n">
        <v>458823196700</v>
      </c>
      <c r="K77" s="242" t="n">
        <v>14945381</v>
      </c>
    </row>
    <row r="78">
      <c r="A78" s="408" t="n">
        <v>45490</v>
      </c>
      <c r="B78" s="242" t="n">
        <v>30700</v>
      </c>
      <c r="C78" s="242" t="n">
        <v>106601</v>
      </c>
      <c r="D78" s="242" t="n">
        <v>0</v>
      </c>
      <c r="E78" s="243" t="n">
        <v>0</v>
      </c>
      <c r="F78" s="242" t="n">
        <v>30750</v>
      </c>
      <c r="G78" s="242" t="n">
        <v>31100</v>
      </c>
      <c r="H78" s="242" t="n">
        <v>30500</v>
      </c>
      <c r="I78" s="242" t="n">
        <v>3275987700</v>
      </c>
      <c r="J78" s="242" t="n">
        <v>458823196700</v>
      </c>
      <c r="K78" s="242" t="n">
        <v>14945381</v>
      </c>
    </row>
    <row r="79">
      <c r="A79" s="408" t="n">
        <v>45491</v>
      </c>
      <c r="B79" s="242" t="n">
        <v>29750</v>
      </c>
      <c r="C79" s="242" t="n">
        <v>156884</v>
      </c>
      <c r="D79" s="242" t="n">
        <v>-950</v>
      </c>
      <c r="E79" s="243" t="n">
        <v>-3.09</v>
      </c>
      <c r="F79" s="242" t="n">
        <v>30300</v>
      </c>
      <c r="G79" s="242" t="n">
        <v>30450</v>
      </c>
      <c r="H79" s="242" t="n">
        <v>29550</v>
      </c>
      <c r="I79" s="242" t="n">
        <v>4674094900</v>
      </c>
      <c r="J79" s="242" t="n">
        <v>444625084750</v>
      </c>
      <c r="K79" s="242" t="n">
        <v>14945381</v>
      </c>
    </row>
    <row r="80">
      <c r="A80" s="408" t="n">
        <v>45492</v>
      </c>
      <c r="B80" s="242" t="n">
        <v>30150</v>
      </c>
      <c r="C80" s="242" t="n">
        <v>86899</v>
      </c>
      <c r="D80" s="242" t="n">
        <v>400</v>
      </c>
      <c r="E80" s="243" t="n">
        <v>1.34</v>
      </c>
      <c r="F80" s="242" t="n">
        <v>29750</v>
      </c>
      <c r="G80" s="242" t="n">
        <v>30300</v>
      </c>
      <c r="H80" s="242" t="n">
        <v>29500</v>
      </c>
      <c r="I80" s="242" t="n">
        <v>2608673450</v>
      </c>
      <c r="J80" s="242" t="n">
        <v>450603237150</v>
      </c>
      <c r="K80" s="242" t="n">
        <v>14945381</v>
      </c>
    </row>
    <row r="81">
      <c r="A81" s="408" t="n">
        <v>45495</v>
      </c>
      <c r="B81" s="242" t="n">
        <v>29350</v>
      </c>
      <c r="C81" s="242" t="n">
        <v>99377</v>
      </c>
      <c r="D81" s="242" t="n">
        <v>-800</v>
      </c>
      <c r="E81" s="243" t="n">
        <v>-2.65</v>
      </c>
      <c r="F81" s="242" t="n">
        <v>30150</v>
      </c>
      <c r="G81" s="242" t="n">
        <v>30450</v>
      </c>
      <c r="H81" s="242" t="n">
        <v>29100</v>
      </c>
      <c r="I81" s="242" t="n">
        <v>2925100150</v>
      </c>
      <c r="J81" s="242" t="n">
        <v>438646932350</v>
      </c>
      <c r="K81" s="242" t="n">
        <v>14945381</v>
      </c>
    </row>
    <row r="82">
      <c r="A82" s="408" t="n">
        <v>45496</v>
      </c>
      <c r="B82" s="242" t="n">
        <v>29500</v>
      </c>
      <c r="C82" s="242" t="n">
        <v>129031</v>
      </c>
      <c r="D82" s="242" t="n">
        <v>150</v>
      </c>
      <c r="E82" s="243" t="n">
        <v>0.51</v>
      </c>
      <c r="F82" s="242" t="n">
        <v>29750</v>
      </c>
      <c r="G82" s="242" t="n">
        <v>30450</v>
      </c>
      <c r="H82" s="242" t="n">
        <v>29250</v>
      </c>
      <c r="I82" s="242" t="n">
        <v>3845350300</v>
      </c>
      <c r="J82" s="242" t="n">
        <v>440888739500</v>
      </c>
      <c r="K82" s="242" t="n">
        <v>14945381</v>
      </c>
    </row>
    <row r="83">
      <c r="A83" s="408" t="n">
        <v>45497</v>
      </c>
      <c r="B83" s="242" t="n">
        <v>28800</v>
      </c>
      <c r="C83" s="242" t="n">
        <v>100561</v>
      </c>
      <c r="D83" s="242" t="n">
        <v>-700</v>
      </c>
      <c r="E83" s="243" t="n">
        <v>-2.37</v>
      </c>
      <c r="F83" s="242" t="n">
        <v>29250</v>
      </c>
      <c r="G83" s="242" t="n">
        <v>29500</v>
      </c>
      <c r="H83" s="242" t="n">
        <v>28800</v>
      </c>
      <c r="I83" s="242" t="n">
        <v>2922062150</v>
      </c>
      <c r="J83" s="242" t="n">
        <v>430426972800</v>
      </c>
      <c r="K83" s="242" t="n">
        <v>14945381</v>
      </c>
    </row>
    <row r="84">
      <c r="A84" s="408" t="n">
        <v>45498</v>
      </c>
      <c r="B84" s="242" t="n">
        <v>27600</v>
      </c>
      <c r="C84" s="242" t="n">
        <v>167771</v>
      </c>
      <c r="D84" s="242" t="n">
        <v>-1200</v>
      </c>
      <c r="E84" s="243" t="n">
        <v>-4.17</v>
      </c>
      <c r="F84" s="242" t="n">
        <v>28200</v>
      </c>
      <c r="G84" s="242" t="n">
        <v>28500</v>
      </c>
      <c r="H84" s="242" t="n">
        <v>27000</v>
      </c>
      <c r="I84" s="242" t="n">
        <v>4610719950</v>
      </c>
      <c r="J84" s="242" t="n">
        <v>412492515600</v>
      </c>
      <c r="K84" s="242" t="n">
        <v>14945381</v>
      </c>
    </row>
    <row r="85">
      <c r="A85" s="408" t="n">
        <v>45499</v>
      </c>
      <c r="B85" s="242" t="n">
        <v>27350</v>
      </c>
      <c r="C85" s="242" t="n">
        <v>91447</v>
      </c>
      <c r="D85" s="242" t="n">
        <v>-250</v>
      </c>
      <c r="E85" s="243" t="n">
        <v>-0.91</v>
      </c>
      <c r="F85" s="242" t="n">
        <v>27600</v>
      </c>
      <c r="G85" s="242" t="n">
        <v>27800</v>
      </c>
      <c r="H85" s="242" t="n">
        <v>27000</v>
      </c>
      <c r="I85" s="242" t="n">
        <v>2494513550</v>
      </c>
      <c r="J85" s="242" t="n">
        <v>408756170350</v>
      </c>
      <c r="K85" s="242" t="n">
        <v>14945381</v>
      </c>
    </row>
    <row r="86">
      <c r="A86" s="408" t="n">
        <v>45502</v>
      </c>
      <c r="B86" s="242" t="n">
        <v>28200</v>
      </c>
      <c r="C86" s="242" t="n">
        <v>80092</v>
      </c>
      <c r="D86" s="242" t="n">
        <v>850</v>
      </c>
      <c r="E86" s="243" t="n">
        <v>3.11</v>
      </c>
      <c r="F86" s="242" t="n">
        <v>27100</v>
      </c>
      <c r="G86" s="242" t="n">
        <v>28400</v>
      </c>
      <c r="H86" s="242" t="n">
        <v>27100</v>
      </c>
      <c r="I86" s="242" t="n">
        <v>2228185700</v>
      </c>
      <c r="J86" s="242" t="n">
        <v>421459744200</v>
      </c>
      <c r="K86" s="242" t="n">
        <v>14945381</v>
      </c>
    </row>
    <row r="87">
      <c r="A87" s="408" t="n">
        <v>45503</v>
      </c>
      <c r="B87" s="242" t="n">
        <v>27950</v>
      </c>
      <c r="C87" s="242" t="n">
        <v>70416</v>
      </c>
      <c r="D87" s="242" t="n">
        <v>-250</v>
      </c>
      <c r="E87" s="243" t="n">
        <v>-0.89</v>
      </c>
      <c r="F87" s="242" t="n">
        <v>28100</v>
      </c>
      <c r="G87" s="242" t="n">
        <v>28250</v>
      </c>
      <c r="H87" s="242" t="n">
        <v>27350</v>
      </c>
      <c r="I87" s="242" t="n">
        <v>1955634200</v>
      </c>
      <c r="J87" s="242" t="n">
        <v>417723398950</v>
      </c>
      <c r="K87" s="242" t="n">
        <v>14945381</v>
      </c>
    </row>
    <row r="88">
      <c r="A88" s="408" t="n">
        <v>45504</v>
      </c>
      <c r="B88" s="242" t="n">
        <v>27700</v>
      </c>
      <c r="C88" s="242" t="n">
        <v>88112</v>
      </c>
      <c r="D88" s="242" t="n">
        <v>-250</v>
      </c>
      <c r="E88" s="243" t="n">
        <v>-0.89</v>
      </c>
      <c r="F88" s="242" t="n">
        <v>27550</v>
      </c>
      <c r="G88" s="242" t="n">
        <v>27900</v>
      </c>
      <c r="H88" s="242" t="n">
        <v>27000</v>
      </c>
      <c r="I88" s="242" t="n">
        <v>2407586350</v>
      </c>
      <c r="J88" s="242" t="n">
        <v>413987053700</v>
      </c>
      <c r="K88" s="242" t="n">
        <v>14945381</v>
      </c>
    </row>
    <row r="89">
      <c r="A89" s="408" t="n">
        <v>45505</v>
      </c>
      <c r="B89" s="242" t="n">
        <v>28000</v>
      </c>
      <c r="C89" s="242" t="n">
        <v>96989</v>
      </c>
      <c r="D89" s="242" t="n">
        <v>300</v>
      </c>
      <c r="E89" s="243" t="n">
        <v>1.08</v>
      </c>
      <c r="F89" s="242" t="n">
        <v>27500</v>
      </c>
      <c r="G89" s="242" t="n">
        <v>28500</v>
      </c>
      <c r="H89" s="242" t="n">
        <v>27500</v>
      </c>
      <c r="I89" s="242" t="n">
        <v>2725841050</v>
      </c>
      <c r="J89" s="242" t="n">
        <v>418470668000</v>
      </c>
      <c r="K89" s="242" t="n">
        <v>14945381</v>
      </c>
    </row>
    <row r="90">
      <c r="A90" s="408" t="n">
        <v>45506</v>
      </c>
      <c r="B90" s="242" t="n">
        <v>25900</v>
      </c>
      <c r="C90" s="242" t="n">
        <v>170967</v>
      </c>
      <c r="D90" s="242" t="n">
        <v>-2100</v>
      </c>
      <c r="E90" s="243" t="n">
        <v>-7.5</v>
      </c>
      <c r="F90" s="242" t="n">
        <v>27400</v>
      </c>
      <c r="G90" s="242" t="n">
        <v>27450</v>
      </c>
      <c r="H90" s="242" t="n">
        <v>25850</v>
      </c>
      <c r="I90" s="242" t="n">
        <v>4517351700</v>
      </c>
      <c r="J90" s="242" t="n">
        <v>387085367900</v>
      </c>
      <c r="K90" s="242" t="n">
        <v>14945381</v>
      </c>
    </row>
    <row r="91">
      <c r="A91" s="408" t="n">
        <v>45509</v>
      </c>
      <c r="B91" s="242" t="n">
        <v>21800</v>
      </c>
      <c r="C91" s="242" t="n">
        <v>248694</v>
      </c>
      <c r="D91" s="242" t="n">
        <v>-4100</v>
      </c>
      <c r="E91" s="243" t="n">
        <v>-15.83</v>
      </c>
      <c r="F91" s="242" t="n">
        <v>24900</v>
      </c>
      <c r="G91" s="242" t="n">
        <v>25550</v>
      </c>
      <c r="H91" s="242" t="n">
        <v>20500</v>
      </c>
      <c r="I91" s="242" t="n">
        <v>5728914050</v>
      </c>
      <c r="J91" s="242" t="n">
        <v>325809305800</v>
      </c>
      <c r="K91" s="242" t="n">
        <v>14945381</v>
      </c>
    </row>
    <row r="92">
      <c r="A92" s="408" t="n">
        <v>45510</v>
      </c>
      <c r="B92" s="242" t="n">
        <v>23000</v>
      </c>
      <c r="C92" s="242" t="n">
        <v>150514</v>
      </c>
      <c r="D92" s="242" t="n">
        <v>1200</v>
      </c>
      <c r="E92" s="243" t="n">
        <v>5.5</v>
      </c>
      <c r="F92" s="242" t="n">
        <v>21150</v>
      </c>
      <c r="G92" s="242" t="n">
        <v>23450</v>
      </c>
      <c r="H92" s="242" t="n">
        <v>21150</v>
      </c>
      <c r="I92" s="242" t="n">
        <v>3406402700</v>
      </c>
      <c r="J92" s="242" t="n">
        <v>343743763000</v>
      </c>
      <c r="K92" s="242" t="n">
        <v>14945381</v>
      </c>
    </row>
    <row r="93">
      <c r="A93" s="408" t="n">
        <v>45511</v>
      </c>
      <c r="B93" s="242" t="n">
        <v>24100</v>
      </c>
      <c r="C93" s="242" t="n">
        <v>134730</v>
      </c>
      <c r="D93" s="242" t="n">
        <v>1100</v>
      </c>
      <c r="E93" s="243" t="n">
        <v>4.78</v>
      </c>
      <c r="F93" s="242" t="n">
        <v>23000</v>
      </c>
      <c r="G93" s="242" t="n">
        <v>24600</v>
      </c>
      <c r="H93" s="242" t="n">
        <v>23000</v>
      </c>
      <c r="I93" s="242" t="n">
        <v>3229992850</v>
      </c>
      <c r="J93" s="242" t="n">
        <v>360183682100</v>
      </c>
      <c r="K93" s="242" t="n">
        <v>14945381</v>
      </c>
    </row>
    <row r="94">
      <c r="A94" s="408" t="n">
        <v>45512</v>
      </c>
      <c r="B94" s="242" t="n">
        <v>23750</v>
      </c>
      <c r="C94" s="242" t="n">
        <v>69808</v>
      </c>
      <c r="D94" s="242" t="n">
        <v>-350</v>
      </c>
      <c r="E94" s="243" t="n">
        <v>-1.45</v>
      </c>
      <c r="F94" s="242" t="n">
        <v>23500</v>
      </c>
      <c r="G94" s="242" t="n">
        <v>24450</v>
      </c>
      <c r="H94" s="242" t="n">
        <v>23350</v>
      </c>
      <c r="I94" s="242" t="n">
        <v>1664664800</v>
      </c>
      <c r="J94" s="242" t="n">
        <v>354952798750</v>
      </c>
      <c r="K94" s="242" t="n">
        <v>14945381</v>
      </c>
    </row>
    <row r="95">
      <c r="A95" s="408" t="n">
        <v>45513</v>
      </c>
      <c r="B95" s="242" t="n">
        <v>24200</v>
      </c>
      <c r="C95" s="242" t="n">
        <v>75711</v>
      </c>
      <c r="D95" s="242" t="n">
        <v>450</v>
      </c>
      <c r="E95" s="243" t="n">
        <v>1.89</v>
      </c>
      <c r="F95" s="242" t="n">
        <v>23950</v>
      </c>
      <c r="G95" s="242" t="n">
        <v>24600</v>
      </c>
      <c r="H95" s="242" t="n">
        <v>23850</v>
      </c>
      <c r="I95" s="242" t="n">
        <v>1827713500</v>
      </c>
      <c r="J95" s="242" t="n">
        <v>361678220200</v>
      </c>
      <c r="K95" s="242" t="n">
        <v>14945381</v>
      </c>
    </row>
    <row r="96">
      <c r="A96" s="408" t="n">
        <v>45516</v>
      </c>
      <c r="B96" s="242" t="n">
        <v>24750</v>
      </c>
      <c r="C96" s="242" t="n">
        <v>91185</v>
      </c>
      <c r="D96" s="242" t="n">
        <v>550</v>
      </c>
      <c r="E96" s="243" t="n">
        <v>2.27</v>
      </c>
      <c r="F96" s="242" t="n">
        <v>24450</v>
      </c>
      <c r="G96" s="242" t="n">
        <v>24900</v>
      </c>
      <c r="H96" s="242" t="n">
        <v>24200</v>
      </c>
      <c r="I96" s="242" t="n">
        <v>2240257200</v>
      </c>
      <c r="J96" s="242" t="n">
        <v>369898179750</v>
      </c>
      <c r="K96" s="242" t="n">
        <v>14945381</v>
      </c>
    </row>
    <row r="97">
      <c r="A97" s="408" t="n">
        <v>45517</v>
      </c>
      <c r="B97" s="242" t="n">
        <v>24050</v>
      </c>
      <c r="C97" s="242" t="n">
        <v>185567</v>
      </c>
      <c r="D97" s="242" t="n">
        <v>-700</v>
      </c>
      <c r="E97" s="243" t="n">
        <v>-2.83</v>
      </c>
      <c r="F97" s="242" t="n">
        <v>24950</v>
      </c>
      <c r="G97" s="242" t="n">
        <v>26350</v>
      </c>
      <c r="H97" s="242" t="n">
        <v>24000</v>
      </c>
      <c r="I97" s="242" t="n">
        <v>4629009800</v>
      </c>
      <c r="J97" s="242" t="n">
        <v>359436413050</v>
      </c>
      <c r="K97" s="242" t="n">
        <v>14945381</v>
      </c>
    </row>
    <row r="98">
      <c r="A98" s="408" t="n">
        <v>45518</v>
      </c>
      <c r="B98" s="242" t="n">
        <v>24600</v>
      </c>
      <c r="C98" s="242" t="n">
        <v>145355</v>
      </c>
      <c r="D98" s="242" t="n">
        <v>550</v>
      </c>
      <c r="E98" s="243" t="n">
        <v>2.29</v>
      </c>
      <c r="F98" s="242" t="n">
        <v>24500</v>
      </c>
      <c r="G98" s="242" t="n">
        <v>25850</v>
      </c>
      <c r="H98" s="242" t="n">
        <v>24000</v>
      </c>
      <c r="I98" s="242" t="n">
        <v>3607022250</v>
      </c>
      <c r="J98" s="242" t="n">
        <v>367656372600</v>
      </c>
      <c r="K98" s="242" t="n">
        <v>14945381</v>
      </c>
    </row>
    <row r="99">
      <c r="A99" s="408" t="n">
        <v>45520</v>
      </c>
      <c r="B99" s="242" t="n">
        <v>24900</v>
      </c>
      <c r="C99" s="242" t="n">
        <v>98064</v>
      </c>
      <c r="D99" s="242" t="n">
        <v>300</v>
      </c>
      <c r="E99" s="243" t="n">
        <v>1.22</v>
      </c>
      <c r="F99" s="242" t="n">
        <v>25050</v>
      </c>
      <c r="G99" s="242" t="n">
        <v>25150</v>
      </c>
      <c r="H99" s="242" t="n">
        <v>24600</v>
      </c>
      <c r="I99" s="242" t="n">
        <v>2442368500</v>
      </c>
      <c r="J99" s="242" t="n">
        <v>372139986900</v>
      </c>
      <c r="K99" s="242" t="n">
        <v>14945381</v>
      </c>
    </row>
    <row r="100">
      <c r="A100" s="408" t="n">
        <v>45523</v>
      </c>
      <c r="B100" s="242" t="n">
        <v>24350</v>
      </c>
      <c r="C100" s="242" t="n">
        <v>60224</v>
      </c>
      <c r="D100" s="242" t="n">
        <v>-550</v>
      </c>
      <c r="E100" s="243" t="n">
        <v>-2.21</v>
      </c>
      <c r="F100" s="242" t="n">
        <v>24700</v>
      </c>
      <c r="G100" s="242" t="n">
        <v>25100</v>
      </c>
      <c r="H100" s="242" t="n">
        <v>24300</v>
      </c>
      <c r="I100" s="242" t="n">
        <v>1478689650</v>
      </c>
      <c r="J100" s="242" t="n">
        <v>363920027350</v>
      </c>
      <c r="K100" s="242" t="n">
        <v>14945381</v>
      </c>
    </row>
    <row r="101">
      <c r="A101" s="408" t="n">
        <v>45524</v>
      </c>
      <c r="B101" s="242" t="n">
        <v>25600</v>
      </c>
      <c r="C101" s="242" t="n">
        <v>195509</v>
      </c>
      <c r="D101" s="242" t="n">
        <v>1250</v>
      </c>
      <c r="E101" s="243" t="n">
        <v>5.13</v>
      </c>
      <c r="F101" s="242" t="n">
        <v>24400</v>
      </c>
      <c r="G101" s="242" t="n">
        <v>26500</v>
      </c>
      <c r="H101" s="242" t="n">
        <v>24400</v>
      </c>
      <c r="I101" s="242" t="n">
        <v>5030723000</v>
      </c>
      <c r="J101" s="242" t="n">
        <v>382601753600</v>
      </c>
      <c r="K101" s="242" t="n">
        <v>14945381</v>
      </c>
    </row>
    <row r="102">
      <c r="A102" s="408" t="n">
        <v>45525</v>
      </c>
      <c r="B102" s="242" t="n">
        <v>26850</v>
      </c>
      <c r="C102" s="242" t="n">
        <v>249683</v>
      </c>
      <c r="D102" s="242" t="n">
        <v>1250</v>
      </c>
      <c r="E102" s="243" t="n">
        <v>4.88</v>
      </c>
      <c r="F102" s="242" t="n">
        <v>25600</v>
      </c>
      <c r="G102" s="242" t="n">
        <v>27150</v>
      </c>
      <c r="H102" s="242" t="n">
        <v>25150</v>
      </c>
      <c r="I102" s="242" t="n">
        <v>6565232300</v>
      </c>
      <c r="J102" s="242" t="n">
        <v>401283479850</v>
      </c>
      <c r="K102" s="242" t="n">
        <v>14945381</v>
      </c>
    </row>
    <row r="103">
      <c r="A103" s="408" t="n">
        <v>45526</v>
      </c>
      <c r="B103" s="242" t="n">
        <v>25850</v>
      </c>
      <c r="C103" s="242" t="n">
        <v>185135</v>
      </c>
      <c r="D103" s="242" t="n">
        <v>-1000</v>
      </c>
      <c r="E103" s="243" t="n">
        <v>-3.72</v>
      </c>
      <c r="F103" s="242" t="n">
        <v>26700</v>
      </c>
      <c r="G103" s="242" t="n">
        <v>27350</v>
      </c>
      <c r="H103" s="242" t="n">
        <v>25850</v>
      </c>
      <c r="I103" s="242" t="n">
        <v>4903656800</v>
      </c>
      <c r="J103" s="242" t="n">
        <v>386338098850</v>
      </c>
      <c r="K103" s="242" t="n">
        <v>14945381</v>
      </c>
    </row>
    <row r="104">
      <c r="A104" s="408" t="n">
        <v>45527</v>
      </c>
      <c r="B104" s="242" t="n">
        <v>25900</v>
      </c>
      <c r="C104" s="242" t="n">
        <v>62951</v>
      </c>
      <c r="D104" s="242" t="n">
        <v>50</v>
      </c>
      <c r="E104" s="243" t="n">
        <v>0.19</v>
      </c>
      <c r="F104" s="242" t="n">
        <v>25400</v>
      </c>
      <c r="G104" s="242" t="n">
        <v>25950</v>
      </c>
      <c r="H104" s="242" t="n">
        <v>24900</v>
      </c>
      <c r="I104" s="242" t="n">
        <v>1607611450</v>
      </c>
      <c r="J104" s="242" t="n">
        <v>387085367900</v>
      </c>
      <c r="K104" s="242" t="n">
        <v>14945381</v>
      </c>
    </row>
    <row r="105">
      <c r="A105" s="408" t="n">
        <v>45530</v>
      </c>
      <c r="B105" s="242" t="n">
        <v>26450</v>
      </c>
      <c r="C105" s="242" t="n">
        <v>225127</v>
      </c>
      <c r="D105" s="242" t="n">
        <v>550</v>
      </c>
      <c r="E105" s="243" t="n">
        <v>2.12</v>
      </c>
      <c r="F105" s="242" t="n">
        <v>26050</v>
      </c>
      <c r="G105" s="242" t="n">
        <v>27200</v>
      </c>
      <c r="H105" s="242" t="n">
        <v>25650</v>
      </c>
      <c r="I105" s="242" t="n">
        <v>5970558650</v>
      </c>
      <c r="J105" s="242" t="n">
        <v>395305327450</v>
      </c>
      <c r="K105" s="242" t="n">
        <v>14945381</v>
      </c>
    </row>
    <row r="106">
      <c r="A106" s="408" t="n">
        <v>45531</v>
      </c>
      <c r="B106" s="242" t="n">
        <v>25900</v>
      </c>
      <c r="C106" s="242" t="n">
        <v>75038</v>
      </c>
      <c r="D106" s="242" t="n">
        <v>-550</v>
      </c>
      <c r="E106" s="243" t="n">
        <v>-2.08</v>
      </c>
      <c r="F106" s="242" t="n">
        <v>26300</v>
      </c>
      <c r="G106" s="242" t="n">
        <v>26450</v>
      </c>
      <c r="H106" s="242" t="n">
        <v>25400</v>
      </c>
      <c r="I106" s="242" t="n">
        <v>1943353250</v>
      </c>
      <c r="J106" s="242" t="n">
        <v>387085367900</v>
      </c>
      <c r="K106" s="242" t="n">
        <v>14945381</v>
      </c>
    </row>
    <row r="107">
      <c r="A107" s="408" t="n">
        <v>45532</v>
      </c>
      <c r="B107" s="242" t="n">
        <v>24950</v>
      </c>
      <c r="C107" s="242" t="n">
        <v>82533</v>
      </c>
      <c r="D107" s="242" t="n">
        <v>-950</v>
      </c>
      <c r="E107" s="243" t="n">
        <v>-3.67</v>
      </c>
      <c r="F107" s="242" t="n">
        <v>25850</v>
      </c>
      <c r="G107" s="242" t="n">
        <v>25850</v>
      </c>
      <c r="H107" s="242" t="n">
        <v>24850</v>
      </c>
      <c r="I107" s="242" t="n">
        <v>2075954350</v>
      </c>
      <c r="J107" s="242" t="n">
        <v>372887255950</v>
      </c>
      <c r="K107" s="242" t="n">
        <v>14945381</v>
      </c>
    </row>
    <row r="108">
      <c r="A108" s="408" t="n">
        <v>45533</v>
      </c>
      <c r="B108" s="242" t="n">
        <v>25200</v>
      </c>
      <c r="C108" s="242" t="n">
        <v>72542</v>
      </c>
      <c r="D108" s="242" t="n">
        <v>250</v>
      </c>
      <c r="E108" s="243" t="n">
        <v>1</v>
      </c>
      <c r="F108" s="242" t="n">
        <v>24350</v>
      </c>
      <c r="G108" s="242" t="n">
        <v>25350</v>
      </c>
      <c r="H108" s="242" t="n">
        <v>24100</v>
      </c>
      <c r="I108" s="242" t="n">
        <v>1797592800</v>
      </c>
      <c r="J108" s="242" t="n">
        <v>376623601200</v>
      </c>
      <c r="K108" s="242" t="n">
        <v>14945381</v>
      </c>
    </row>
    <row r="109">
      <c r="A109" s="408" t="n">
        <v>45534</v>
      </c>
      <c r="B109" s="242" t="n">
        <v>25200</v>
      </c>
      <c r="C109" s="242" t="n">
        <v>51663</v>
      </c>
      <c r="D109" s="242" t="n">
        <v>0</v>
      </c>
      <c r="E109" s="243" t="n">
        <v>0</v>
      </c>
      <c r="F109" s="242" t="n">
        <v>25000</v>
      </c>
      <c r="G109" s="242" t="n">
        <v>25400</v>
      </c>
      <c r="H109" s="242" t="n">
        <v>24550</v>
      </c>
      <c r="I109" s="242" t="n">
        <v>1287176100</v>
      </c>
      <c r="J109" s="242" t="n">
        <v>376623601200</v>
      </c>
      <c r="K109" s="242" t="n">
        <v>14945381</v>
      </c>
    </row>
    <row r="110">
      <c r="A110" s="408" t="n">
        <v>45537</v>
      </c>
      <c r="B110" s="242" t="n">
        <v>27250</v>
      </c>
      <c r="C110" s="242" t="n">
        <v>325701</v>
      </c>
      <c r="D110" s="242" t="n">
        <v>2050</v>
      </c>
      <c r="E110" s="243" t="n">
        <v>8.130000000000001</v>
      </c>
      <c r="F110" s="242" t="n">
        <v>25450</v>
      </c>
      <c r="G110" s="242" t="n">
        <v>27800</v>
      </c>
      <c r="H110" s="242" t="n">
        <v>24850</v>
      </c>
      <c r="I110" s="242" t="n">
        <v>8703500800</v>
      </c>
      <c r="J110" s="242" t="n">
        <v>407261632250</v>
      </c>
      <c r="K110" s="242" t="n">
        <v>14945381</v>
      </c>
    </row>
    <row r="111">
      <c r="A111" s="408" t="n">
        <v>45538</v>
      </c>
      <c r="B111" s="242" t="n">
        <v>26250</v>
      </c>
      <c r="C111" s="242" t="n">
        <v>124322</v>
      </c>
      <c r="D111" s="242" t="n">
        <v>-1000</v>
      </c>
      <c r="E111" s="243" t="n">
        <v>-3.67</v>
      </c>
      <c r="F111" s="242" t="n">
        <v>27150</v>
      </c>
      <c r="G111" s="242" t="n">
        <v>27200</v>
      </c>
      <c r="H111" s="242" t="n">
        <v>26150</v>
      </c>
      <c r="I111" s="242" t="n">
        <v>3314062950</v>
      </c>
      <c r="J111" s="242" t="n">
        <v>392316251250</v>
      </c>
      <c r="K111" s="242" t="n">
        <v>14945381</v>
      </c>
    </row>
    <row r="112">
      <c r="A112" s="408" t="n">
        <v>45539</v>
      </c>
      <c r="B112" s="242" t="n">
        <v>24650</v>
      </c>
      <c r="C112" s="242" t="n">
        <v>121110</v>
      </c>
      <c r="D112" s="242" t="n">
        <v>-1600</v>
      </c>
      <c r="E112" s="243" t="n">
        <v>-6.1</v>
      </c>
      <c r="F112" s="242" t="n">
        <v>24900</v>
      </c>
      <c r="G112" s="242" t="n">
        <v>25600</v>
      </c>
      <c r="H112" s="242" t="n">
        <v>24400</v>
      </c>
      <c r="I112" s="242" t="n">
        <v>3019129450</v>
      </c>
      <c r="J112" s="242" t="n">
        <v>368403641650</v>
      </c>
      <c r="K112" s="242" t="n">
        <v>14945381</v>
      </c>
    </row>
    <row r="113">
      <c r="A113" s="408" t="n">
        <v>45540</v>
      </c>
      <c r="B113" s="242" t="n">
        <v>23950</v>
      </c>
      <c r="C113" s="242" t="n">
        <v>94662</v>
      </c>
      <c r="D113" s="242" t="n">
        <v>-700</v>
      </c>
      <c r="E113" s="243" t="n">
        <v>-2.84</v>
      </c>
      <c r="F113" s="242" t="n">
        <v>24900</v>
      </c>
      <c r="G113" s="242" t="n">
        <v>25900</v>
      </c>
      <c r="H113" s="242" t="n">
        <v>23700</v>
      </c>
      <c r="I113" s="242" t="n">
        <v>2331523000</v>
      </c>
      <c r="J113" s="242" t="n">
        <v>357941874950</v>
      </c>
      <c r="K113" s="242" t="n">
        <v>14945381</v>
      </c>
    </row>
    <row r="114">
      <c r="A114" s="408" t="n">
        <v>45541</v>
      </c>
      <c r="B114" s="242" t="n">
        <v>22400</v>
      </c>
      <c r="C114" s="242" t="n">
        <v>126691</v>
      </c>
      <c r="D114" s="242" t="n">
        <v>-1550</v>
      </c>
      <c r="E114" s="243" t="n">
        <v>-6.47</v>
      </c>
      <c r="F114" s="242" t="n">
        <v>23850</v>
      </c>
      <c r="G114" s="242" t="n">
        <v>24050</v>
      </c>
      <c r="H114" s="242" t="n">
        <v>22400</v>
      </c>
      <c r="I114" s="242" t="n">
        <v>2891286450</v>
      </c>
      <c r="J114" s="242" t="n">
        <v>334776534400</v>
      </c>
      <c r="K114" s="242" t="n">
        <v>14945381</v>
      </c>
    </row>
    <row r="115">
      <c r="A115" s="408" t="n">
        <v>45544</v>
      </c>
      <c r="B115" s="242" t="n">
        <v>22100</v>
      </c>
      <c r="C115" s="242" t="n">
        <v>75381</v>
      </c>
      <c r="D115" s="242" t="n">
        <v>-300</v>
      </c>
      <c r="E115" s="243" t="n">
        <v>-1.34</v>
      </c>
      <c r="F115" s="242" t="n">
        <v>21700</v>
      </c>
      <c r="G115" s="242" t="n">
        <v>22500</v>
      </c>
      <c r="H115" s="242" t="n">
        <v>21350</v>
      </c>
      <c r="I115" s="242" t="n">
        <v>1644675900</v>
      </c>
      <c r="J115" s="242" t="n">
        <v>330292920100</v>
      </c>
      <c r="K115" s="242" t="n">
        <v>14945381</v>
      </c>
    </row>
    <row r="116">
      <c r="A116" s="408" t="n">
        <v>45545</v>
      </c>
      <c r="B116" s="242" t="n">
        <v>21750</v>
      </c>
      <c r="C116" s="242" t="n">
        <v>49024</v>
      </c>
      <c r="D116" s="242" t="n">
        <v>-350</v>
      </c>
      <c r="E116" s="243" t="n">
        <v>-1.58</v>
      </c>
      <c r="F116" s="242" t="n">
        <v>22300</v>
      </c>
      <c r="G116" s="242" t="n">
        <v>22500</v>
      </c>
      <c r="H116" s="242" t="n">
        <v>21650</v>
      </c>
      <c r="I116" s="242" t="n">
        <v>1078224200</v>
      </c>
      <c r="J116" s="242" t="n">
        <v>325062036750</v>
      </c>
      <c r="K116" s="242" t="n">
        <v>14945381</v>
      </c>
    </row>
    <row r="117">
      <c r="A117" s="408" t="n">
        <v>45546</v>
      </c>
      <c r="B117" s="242" t="n">
        <v>22400</v>
      </c>
      <c r="C117" s="242" t="n">
        <v>57414</v>
      </c>
      <c r="D117" s="242" t="n">
        <v>650</v>
      </c>
      <c r="E117" s="243" t="n">
        <v>2.99</v>
      </c>
      <c r="F117" s="242" t="n">
        <v>21950</v>
      </c>
      <c r="G117" s="242" t="n">
        <v>23000</v>
      </c>
      <c r="H117" s="242" t="n">
        <v>21950</v>
      </c>
      <c r="I117" s="242" t="n">
        <v>1293499800</v>
      </c>
      <c r="J117" s="242" t="n">
        <v>334776534400</v>
      </c>
      <c r="K117" s="242" t="n">
        <v>14945381</v>
      </c>
    </row>
    <row r="118">
      <c r="A118" s="408" t="n">
        <v>45547</v>
      </c>
      <c r="B118" s="242" t="n">
        <v>29050</v>
      </c>
      <c r="C118" s="242" t="n">
        <v>3625373</v>
      </c>
      <c r="D118" s="242" t="n">
        <v>6650</v>
      </c>
      <c r="E118" s="243" t="n">
        <v>29.69</v>
      </c>
      <c r="F118" s="242" t="n">
        <v>22650</v>
      </c>
      <c r="G118" s="242" t="n">
        <v>29100</v>
      </c>
      <c r="H118" s="242" t="n">
        <v>22650</v>
      </c>
      <c r="I118" s="242" t="n">
        <v>101732884250</v>
      </c>
      <c r="J118" s="242" t="n">
        <v>434163318050</v>
      </c>
      <c r="K118" s="242" t="n">
        <v>14945381</v>
      </c>
    </row>
    <row r="119">
      <c r="A119" s="408" t="n">
        <v>45548</v>
      </c>
      <c r="B119" s="242" t="n">
        <v>27600</v>
      </c>
      <c r="C119" s="242" t="n">
        <v>1111199</v>
      </c>
      <c r="D119" s="242" t="n">
        <v>-1450</v>
      </c>
      <c r="E119" s="243" t="n">
        <v>-4.99</v>
      </c>
      <c r="F119" s="242" t="n">
        <v>28500</v>
      </c>
      <c r="G119" s="242" t="n">
        <v>28800</v>
      </c>
      <c r="H119" s="242" t="n">
        <v>26950</v>
      </c>
      <c r="I119" s="242" t="n">
        <v>30829333900</v>
      </c>
      <c r="J119" s="242" t="n">
        <v>412492515600</v>
      </c>
      <c r="K119" s="242" t="n">
        <v>14945381</v>
      </c>
    </row>
    <row r="120">
      <c r="A120" s="408" t="n">
        <v>45554</v>
      </c>
      <c r="B120" s="242" t="n">
        <v>28200</v>
      </c>
      <c r="C120" s="242" t="n">
        <v>589879</v>
      </c>
      <c r="D120" s="242" t="n">
        <v>600</v>
      </c>
      <c r="E120" s="243" t="n">
        <v>2.17</v>
      </c>
      <c r="F120" s="242" t="n">
        <v>27650</v>
      </c>
      <c r="G120" s="242" t="n">
        <v>28300</v>
      </c>
      <c r="H120" s="242" t="n">
        <v>27200</v>
      </c>
      <c r="I120" s="242" t="n">
        <v>16402786650</v>
      </c>
      <c r="J120" s="242" t="n">
        <v>421459744200</v>
      </c>
      <c r="K120" s="242" t="n">
        <v>14945381</v>
      </c>
    </row>
    <row r="121">
      <c r="A121" s="408" t="n">
        <v>45555</v>
      </c>
      <c r="B121" s="242" t="n">
        <v>28750</v>
      </c>
      <c r="C121" s="242" t="n">
        <v>657090</v>
      </c>
      <c r="D121" s="242" t="n">
        <v>550</v>
      </c>
      <c r="E121" s="243" t="n">
        <v>1.95</v>
      </c>
      <c r="F121" s="242" t="n">
        <v>28100</v>
      </c>
      <c r="G121" s="242" t="n">
        <v>28800</v>
      </c>
      <c r="H121" s="242" t="n">
        <v>27500</v>
      </c>
      <c r="I121" s="242" t="n">
        <v>18524706150</v>
      </c>
      <c r="J121" s="242" t="n">
        <v>429679703750</v>
      </c>
      <c r="K121" s="242" t="n">
        <v>14945381</v>
      </c>
    </row>
    <row r="122">
      <c r="A122" s="408" t="n">
        <v>45558</v>
      </c>
      <c r="B122" s="242" t="n">
        <v>29850</v>
      </c>
      <c r="C122" s="242" t="n">
        <v>1663569</v>
      </c>
      <c r="D122" s="242" t="n">
        <v>1100</v>
      </c>
      <c r="E122" s="243" t="n">
        <v>3.83</v>
      </c>
      <c r="F122" s="242" t="n">
        <v>28400</v>
      </c>
      <c r="G122" s="242" t="n">
        <v>30450</v>
      </c>
      <c r="H122" s="242" t="n">
        <v>27600</v>
      </c>
      <c r="I122" s="242" t="n">
        <v>49211512200</v>
      </c>
      <c r="J122" s="242" t="n">
        <v>446119622850</v>
      </c>
      <c r="K122" s="242" t="n">
        <v>14945381</v>
      </c>
    </row>
    <row r="123">
      <c r="A123" s="408" t="n">
        <v>45559</v>
      </c>
      <c r="B123" s="242" t="n">
        <v>29250</v>
      </c>
      <c r="C123" s="242" t="n">
        <v>401830</v>
      </c>
      <c r="D123" s="242" t="n">
        <v>-600</v>
      </c>
      <c r="E123" s="243" t="n">
        <v>-2.01</v>
      </c>
      <c r="F123" s="242" t="n">
        <v>29650</v>
      </c>
      <c r="G123" s="242" t="n">
        <v>30400</v>
      </c>
      <c r="H123" s="242" t="n">
        <v>29150</v>
      </c>
      <c r="I123" s="242" t="n">
        <v>11911773000</v>
      </c>
      <c r="J123" s="242" t="n">
        <v>437152394250</v>
      </c>
      <c r="K123" s="242" t="n">
        <v>14945381</v>
      </c>
    </row>
    <row r="124">
      <c r="A124" s="408" t="n">
        <v>45560</v>
      </c>
      <c r="B124" s="242" t="n">
        <v>28500</v>
      </c>
      <c r="C124" s="242" t="n">
        <v>387584</v>
      </c>
      <c r="D124" s="242" t="n">
        <v>-750</v>
      </c>
      <c r="E124" s="243" t="n">
        <v>-2.56</v>
      </c>
      <c r="F124" s="242" t="n">
        <v>29000</v>
      </c>
      <c r="G124" s="242" t="n">
        <v>29800</v>
      </c>
      <c r="H124" s="242" t="n">
        <v>28050</v>
      </c>
      <c r="I124" s="242" t="n">
        <v>11232786950</v>
      </c>
      <c r="J124" s="242" t="n">
        <v>425943358500</v>
      </c>
      <c r="K124" s="242" t="n">
        <v>14945381</v>
      </c>
    </row>
    <row r="125">
      <c r="A125" s="408" t="n">
        <v>45561</v>
      </c>
      <c r="B125" s="242" t="n">
        <v>28700</v>
      </c>
      <c r="C125" s="242" t="n">
        <v>394423</v>
      </c>
      <c r="D125" s="242" t="n">
        <v>200</v>
      </c>
      <c r="E125" s="243" t="n">
        <v>0.7</v>
      </c>
      <c r="F125" s="242" t="n">
        <v>28150</v>
      </c>
      <c r="G125" s="242" t="n">
        <v>29250</v>
      </c>
      <c r="H125" s="242" t="n">
        <v>28050</v>
      </c>
      <c r="I125" s="242" t="n">
        <v>11244664050</v>
      </c>
      <c r="J125" s="242" t="n">
        <v>428932434700</v>
      </c>
      <c r="K125" s="242" t="n">
        <v>14945381</v>
      </c>
    </row>
    <row r="126">
      <c r="A126" s="408" t="n">
        <v>45562</v>
      </c>
      <c r="B126" s="242" t="n">
        <v>28200</v>
      </c>
      <c r="C126" s="242" t="n">
        <v>284225</v>
      </c>
      <c r="D126" s="242" t="n">
        <v>-500</v>
      </c>
      <c r="E126" s="243" t="n">
        <v>-1.74</v>
      </c>
      <c r="F126" s="242" t="n">
        <v>28650</v>
      </c>
      <c r="G126" s="242" t="n">
        <v>28700</v>
      </c>
      <c r="H126" s="242" t="n">
        <v>27350</v>
      </c>
      <c r="I126" s="242" t="n">
        <v>7936766250</v>
      </c>
      <c r="J126" s="242" t="n">
        <v>421459744200</v>
      </c>
      <c r="K126" s="242" t="n">
        <v>14945381</v>
      </c>
    </row>
    <row r="127">
      <c r="A127" s="408" t="n">
        <v>45565</v>
      </c>
      <c r="B127" s="242" t="n">
        <v>28150</v>
      </c>
      <c r="C127" s="242" t="n">
        <v>420218</v>
      </c>
      <c r="D127" s="242" t="n">
        <v>-50</v>
      </c>
      <c r="E127" s="243" t="n">
        <v>-0.18</v>
      </c>
      <c r="F127" s="242" t="n">
        <v>28000</v>
      </c>
      <c r="G127" s="242" t="n">
        <v>29300</v>
      </c>
      <c r="H127" s="242" t="n">
        <v>27750</v>
      </c>
      <c r="I127" s="242" t="n">
        <v>12083685500</v>
      </c>
      <c r="J127" s="242" t="n">
        <v>420712475150</v>
      </c>
      <c r="K127" s="242" t="n">
        <v>14945381</v>
      </c>
    </row>
    <row r="128">
      <c r="A128" s="408" t="n">
        <v>45567</v>
      </c>
      <c r="B128" s="242" t="n">
        <v>27750</v>
      </c>
      <c r="C128" s="242" t="n">
        <v>157834</v>
      </c>
      <c r="D128" s="242" t="n">
        <v>-400</v>
      </c>
      <c r="E128" s="243" t="n">
        <v>-1.42</v>
      </c>
      <c r="F128" s="242" t="n">
        <v>27700</v>
      </c>
      <c r="G128" s="242" t="n">
        <v>28500</v>
      </c>
      <c r="H128" s="242" t="n">
        <v>27300</v>
      </c>
      <c r="I128" s="242" t="n">
        <v>4408806800</v>
      </c>
      <c r="J128" s="242" t="n">
        <v>414734322750</v>
      </c>
      <c r="K128" s="242" t="n">
        <v>14945381</v>
      </c>
    </row>
    <row r="129">
      <c r="A129" s="408" t="n">
        <v>45569</v>
      </c>
      <c r="B129" s="242" t="n">
        <v>27500</v>
      </c>
      <c r="C129" s="242" t="n">
        <v>158766</v>
      </c>
      <c r="D129" s="242" t="n">
        <v>-250</v>
      </c>
      <c r="E129" s="243" t="n">
        <v>-0.9</v>
      </c>
      <c r="F129" s="242" t="n">
        <v>27900</v>
      </c>
      <c r="G129" s="242" t="n">
        <v>28450</v>
      </c>
      <c r="H129" s="242" t="n">
        <v>27250</v>
      </c>
      <c r="I129" s="242" t="n">
        <v>4422119250</v>
      </c>
      <c r="J129" s="242" t="n">
        <v>410997977500</v>
      </c>
      <c r="K129" s="242" t="n">
        <v>14945381</v>
      </c>
    </row>
    <row r="130">
      <c r="A130" s="408" t="n">
        <v>45572</v>
      </c>
      <c r="B130" s="242" t="n">
        <v>28450</v>
      </c>
      <c r="C130" s="242" t="n">
        <v>159349</v>
      </c>
      <c r="D130" s="242" t="n">
        <v>950</v>
      </c>
      <c r="E130" s="243" t="n">
        <v>3.45</v>
      </c>
      <c r="F130" s="242" t="n">
        <v>28000</v>
      </c>
      <c r="G130" s="242" t="n">
        <v>28600</v>
      </c>
      <c r="H130" s="242" t="n">
        <v>27600</v>
      </c>
      <c r="I130" s="242" t="n">
        <v>4500806700</v>
      </c>
      <c r="J130" s="242" t="n">
        <v>425196089450</v>
      </c>
      <c r="K130" s="242" t="n">
        <v>14945381</v>
      </c>
    </row>
    <row r="131">
      <c r="A131" s="408" t="n">
        <v>45573</v>
      </c>
      <c r="B131" s="242" t="n">
        <v>27700</v>
      </c>
      <c r="C131" s="242" t="n">
        <v>137261</v>
      </c>
      <c r="D131" s="242" t="n">
        <v>-750</v>
      </c>
      <c r="E131" s="243" t="n">
        <v>-2.64</v>
      </c>
      <c r="F131" s="242" t="n">
        <v>28200</v>
      </c>
      <c r="G131" s="242" t="n">
        <v>28350</v>
      </c>
      <c r="H131" s="242" t="n">
        <v>27650</v>
      </c>
      <c r="I131" s="242" t="n">
        <v>3843021750</v>
      </c>
      <c r="J131" s="242" t="n">
        <v>413987053700</v>
      </c>
      <c r="K131" s="242" t="n">
        <v>14945381</v>
      </c>
    </row>
    <row r="132">
      <c r="A132" s="408" t="n">
        <v>45575</v>
      </c>
      <c r="B132" s="242" t="n">
        <v>26250</v>
      </c>
      <c r="C132" s="242" t="n">
        <v>302308</v>
      </c>
      <c r="D132" s="242" t="n">
        <v>-1450</v>
      </c>
      <c r="E132" s="243" t="n">
        <v>-5.23</v>
      </c>
      <c r="F132" s="242" t="n">
        <v>28100</v>
      </c>
      <c r="G132" s="242" t="n">
        <v>28150</v>
      </c>
      <c r="H132" s="242" t="n">
        <v>25900</v>
      </c>
      <c r="I132" s="242" t="n">
        <v>8057069800</v>
      </c>
      <c r="J132" s="242" t="n">
        <v>392316251250</v>
      </c>
      <c r="K132" s="242" t="n">
        <v>14945381</v>
      </c>
    </row>
    <row r="133">
      <c r="A133" s="408" t="n">
        <v>45576</v>
      </c>
      <c r="B133" s="242" t="n">
        <v>26050</v>
      </c>
      <c r="C133" s="242" t="n">
        <v>230426</v>
      </c>
      <c r="D133" s="242" t="n">
        <v>-200</v>
      </c>
      <c r="E133" s="243" t="n">
        <v>-0.76</v>
      </c>
      <c r="F133" s="242" t="n">
        <v>26300</v>
      </c>
      <c r="G133" s="242" t="n">
        <v>27150</v>
      </c>
      <c r="H133" s="242" t="n">
        <v>26050</v>
      </c>
      <c r="I133" s="242" t="n">
        <v>6116149600</v>
      </c>
      <c r="J133" s="242" t="n">
        <v>389327175050</v>
      </c>
      <c r="K133" s="242" t="n">
        <v>14945381</v>
      </c>
    </row>
    <row r="134">
      <c r="A134" s="408" t="n">
        <v>45579</v>
      </c>
      <c r="B134" s="242" t="n">
        <v>26900</v>
      </c>
      <c r="C134" s="242" t="n">
        <v>186461</v>
      </c>
      <c r="D134" s="242" t="n">
        <v>850</v>
      </c>
      <c r="E134" s="243" t="n">
        <v>3.26</v>
      </c>
      <c r="F134" s="242" t="n">
        <v>26600</v>
      </c>
      <c r="G134" s="242" t="n">
        <v>27300</v>
      </c>
      <c r="H134" s="242" t="n">
        <v>26300</v>
      </c>
      <c r="I134" s="242" t="n">
        <v>4995271600</v>
      </c>
      <c r="J134" s="242" t="n">
        <v>402030748900</v>
      </c>
      <c r="K134" s="242" t="n">
        <v>14945381</v>
      </c>
    </row>
    <row r="135">
      <c r="A135" s="408" t="n">
        <v>45580</v>
      </c>
      <c r="B135" s="242" t="n">
        <v>26400</v>
      </c>
      <c r="C135" s="242" t="n">
        <v>246039</v>
      </c>
      <c r="D135" s="242" t="n">
        <v>-500</v>
      </c>
      <c r="E135" s="243" t="n">
        <v>-1.86</v>
      </c>
      <c r="F135" s="242" t="n">
        <v>27450</v>
      </c>
      <c r="G135" s="242" t="n">
        <v>28050</v>
      </c>
      <c r="H135" s="242" t="n">
        <v>26100</v>
      </c>
      <c r="I135" s="242" t="n">
        <v>6663495850</v>
      </c>
      <c r="J135" s="242" t="n">
        <v>394558058400</v>
      </c>
      <c r="K135" s="242" t="n">
        <v>14945381</v>
      </c>
    </row>
    <row r="136">
      <c r="A136" s="408" t="n">
        <v>45581</v>
      </c>
      <c r="B136" s="242" t="n">
        <v>25300</v>
      </c>
      <c r="C136" s="242" t="n">
        <v>147663</v>
      </c>
      <c r="D136" s="242" t="n">
        <v>-1100</v>
      </c>
      <c r="E136" s="243" t="n">
        <v>-4.17</v>
      </c>
      <c r="F136" s="242" t="n">
        <v>26100</v>
      </c>
      <c r="G136" s="242" t="n">
        <v>26150</v>
      </c>
      <c r="H136" s="242" t="n">
        <v>25250</v>
      </c>
      <c r="I136" s="242" t="n">
        <v>3770460100</v>
      </c>
      <c r="J136" s="242" t="n">
        <v>378118139300</v>
      </c>
      <c r="K136" s="242" t="n">
        <v>14945381</v>
      </c>
    </row>
    <row r="137">
      <c r="A137" s="408" t="n">
        <v>45582</v>
      </c>
      <c r="B137" s="242" t="n">
        <v>24950</v>
      </c>
      <c r="C137" s="242" t="n">
        <v>106630</v>
      </c>
      <c r="D137" s="242" t="n">
        <v>-350</v>
      </c>
      <c r="E137" s="243" t="n">
        <v>-1.38</v>
      </c>
      <c r="F137" s="242" t="n">
        <v>25200</v>
      </c>
      <c r="G137" s="242" t="n">
        <v>25500</v>
      </c>
      <c r="H137" s="242" t="n">
        <v>24850</v>
      </c>
      <c r="I137" s="242" t="n">
        <v>2676039400</v>
      </c>
      <c r="J137" s="242" t="n">
        <v>372887255950</v>
      </c>
      <c r="K137" s="242" t="n">
        <v>14945381</v>
      </c>
    </row>
    <row r="138">
      <c r="A138" s="408" t="n">
        <v>45583</v>
      </c>
      <c r="B138" s="242" t="n">
        <v>24350</v>
      </c>
      <c r="C138" s="242" t="n">
        <v>95467</v>
      </c>
      <c r="D138" s="242" t="n">
        <v>-600</v>
      </c>
      <c r="E138" s="243" t="n">
        <v>-2.4</v>
      </c>
      <c r="F138" s="242" t="n">
        <v>25050</v>
      </c>
      <c r="G138" s="242" t="n">
        <v>25150</v>
      </c>
      <c r="H138" s="242" t="n">
        <v>24300</v>
      </c>
      <c r="I138" s="242" t="n">
        <v>2345493100</v>
      </c>
      <c r="J138" s="242" t="n">
        <v>363920027350</v>
      </c>
      <c r="K138" s="242" t="n">
        <v>14945381</v>
      </c>
    </row>
    <row r="139">
      <c r="A139" s="408" t="n">
        <v>45586</v>
      </c>
      <c r="B139" s="242" t="n">
        <v>24400</v>
      </c>
      <c r="C139" s="242" t="n">
        <v>114184</v>
      </c>
      <c r="D139" s="242" t="n">
        <v>50</v>
      </c>
      <c r="E139" s="243" t="n">
        <v>0.21</v>
      </c>
      <c r="F139" s="242" t="n">
        <v>24100</v>
      </c>
      <c r="G139" s="242" t="n">
        <v>25400</v>
      </c>
      <c r="H139" s="242" t="n">
        <v>24000</v>
      </c>
      <c r="I139" s="242" t="n">
        <v>2821148300</v>
      </c>
      <c r="J139" s="242" t="n">
        <v>364667296400</v>
      </c>
      <c r="K139" s="242" t="n">
        <v>14945381</v>
      </c>
    </row>
    <row r="140">
      <c r="A140" s="408" t="n">
        <v>45587</v>
      </c>
      <c r="B140" s="242" t="n">
        <v>23400</v>
      </c>
      <c r="C140" s="242" t="n">
        <v>120446</v>
      </c>
      <c r="D140" s="242" t="n">
        <v>-1000</v>
      </c>
      <c r="E140" s="243" t="n">
        <v>-4.1</v>
      </c>
      <c r="F140" s="242" t="n">
        <v>24350</v>
      </c>
      <c r="G140" s="242" t="n">
        <v>24350</v>
      </c>
      <c r="H140" s="242" t="n">
        <v>23200</v>
      </c>
      <c r="I140" s="242" t="n">
        <v>2826112500</v>
      </c>
      <c r="J140" s="242" t="n">
        <v>349721915400</v>
      </c>
      <c r="K140" s="242" t="n">
        <v>14945381</v>
      </c>
    </row>
    <row r="141">
      <c r="A141" s="408" t="n">
        <v>45588</v>
      </c>
      <c r="B141" s="242" t="n">
        <v>23450</v>
      </c>
      <c r="C141" s="242" t="n">
        <v>77942</v>
      </c>
      <c r="D141" s="242" t="n">
        <v>50</v>
      </c>
      <c r="E141" s="243" t="n">
        <v>0.21</v>
      </c>
      <c r="F141" s="242" t="n">
        <v>23400</v>
      </c>
      <c r="G141" s="242" t="n">
        <v>24100</v>
      </c>
      <c r="H141" s="242" t="n">
        <v>22900</v>
      </c>
      <c r="I141" s="242" t="n">
        <v>1817080200</v>
      </c>
      <c r="J141" s="242" t="n">
        <v>350469184450</v>
      </c>
      <c r="K141" s="242" t="n">
        <v>14945381</v>
      </c>
    </row>
    <row r="142">
      <c r="A142" s="408" t="n">
        <v>45589</v>
      </c>
      <c r="B142" s="242" t="n">
        <v>24400</v>
      </c>
      <c r="C142" s="242" t="n">
        <v>1398406</v>
      </c>
      <c r="D142" s="242" t="n">
        <v>950</v>
      </c>
      <c r="E142" s="243" t="n">
        <v>4.05</v>
      </c>
      <c r="F142" s="242" t="n">
        <v>23050</v>
      </c>
      <c r="G142" s="242" t="n">
        <v>27800</v>
      </c>
      <c r="H142" s="242" t="n">
        <v>23000</v>
      </c>
      <c r="I142" s="242" t="n">
        <v>36051036600</v>
      </c>
      <c r="J142" s="242" t="n">
        <v>364667296400</v>
      </c>
      <c r="K142" s="242" t="n">
        <v>14945381</v>
      </c>
    </row>
    <row r="143">
      <c r="A143" s="408" t="n">
        <v>45590</v>
      </c>
      <c r="B143" s="242" t="n">
        <v>25000</v>
      </c>
      <c r="C143" s="242" t="n">
        <v>251122</v>
      </c>
      <c r="D143" s="242" t="n">
        <v>600</v>
      </c>
      <c r="E143" s="243" t="n">
        <v>2.46</v>
      </c>
      <c r="F143" s="242" t="n">
        <v>24600</v>
      </c>
      <c r="G143" s="242" t="n">
        <v>25300</v>
      </c>
      <c r="H143" s="242" t="n">
        <v>24350</v>
      </c>
      <c r="I143" s="242" t="n">
        <v>6231954350</v>
      </c>
      <c r="J143" s="242" t="n">
        <v>373634525000</v>
      </c>
      <c r="K143" s="242" t="n">
        <v>14945381</v>
      </c>
    </row>
    <row r="144">
      <c r="A144" s="408" t="n">
        <v>45593</v>
      </c>
      <c r="B144" s="242" t="n">
        <v>24600</v>
      </c>
      <c r="C144" s="242" t="n">
        <v>218335</v>
      </c>
      <c r="D144" s="242" t="n">
        <v>-400</v>
      </c>
      <c r="E144" s="243" t="n">
        <v>-1.6</v>
      </c>
      <c r="F144" s="242" t="n">
        <v>24900</v>
      </c>
      <c r="G144" s="242" t="n">
        <v>25550</v>
      </c>
      <c r="H144" s="242" t="n">
        <v>24550</v>
      </c>
      <c r="I144" s="242" t="n">
        <v>5462350950</v>
      </c>
      <c r="J144" s="242" t="n">
        <v>367656372600</v>
      </c>
      <c r="K144" s="242" t="n">
        <v>14945381</v>
      </c>
    </row>
    <row r="145">
      <c r="A145" s="408" t="n">
        <v>45594</v>
      </c>
      <c r="B145" s="242" t="n">
        <v>24100</v>
      </c>
      <c r="C145" s="242" t="n">
        <v>141576</v>
      </c>
      <c r="D145" s="242" t="n">
        <v>-500</v>
      </c>
      <c r="E145" s="243" t="n">
        <v>-2.03</v>
      </c>
      <c r="F145" s="242" t="n">
        <v>24400</v>
      </c>
      <c r="G145" s="242" t="n">
        <v>24800</v>
      </c>
      <c r="H145" s="242" t="n">
        <v>23700</v>
      </c>
      <c r="I145" s="242" t="n">
        <v>3419287500</v>
      </c>
      <c r="J145" s="242" t="n">
        <v>360183682100</v>
      </c>
      <c r="K145" s="242" t="n">
        <v>14945381</v>
      </c>
    </row>
    <row r="146">
      <c r="A146" s="408" t="n">
        <v>45595</v>
      </c>
      <c r="B146" s="242" t="n">
        <v>23550</v>
      </c>
      <c r="C146" s="242" t="n">
        <v>90213</v>
      </c>
      <c r="D146" s="242" t="n">
        <v>-550</v>
      </c>
      <c r="E146" s="243" t="n">
        <v>-2.28</v>
      </c>
      <c r="F146" s="242" t="n">
        <v>24050</v>
      </c>
      <c r="G146" s="242" t="n">
        <v>24200</v>
      </c>
      <c r="H146" s="242" t="n">
        <v>23500</v>
      </c>
      <c r="I146" s="242" t="n">
        <v>2143582700</v>
      </c>
      <c r="J146" s="242" t="n">
        <v>351963722550</v>
      </c>
      <c r="K146" s="242" t="n">
        <v>14945381</v>
      </c>
    </row>
    <row r="147">
      <c r="A147" s="408" t="n">
        <v>45596</v>
      </c>
      <c r="B147" s="242" t="n">
        <v>23550</v>
      </c>
      <c r="C147" s="242" t="n">
        <v>86491</v>
      </c>
      <c r="D147" s="242" t="n">
        <v>0</v>
      </c>
      <c r="E147" s="243" t="n">
        <v>0</v>
      </c>
      <c r="F147" s="242" t="n">
        <v>23350</v>
      </c>
      <c r="G147" s="242" t="n">
        <v>23950</v>
      </c>
      <c r="H147" s="242" t="n">
        <v>22900</v>
      </c>
      <c r="I147" s="242" t="n">
        <v>2018678300</v>
      </c>
      <c r="J147" s="242" t="n">
        <v>351963722550</v>
      </c>
      <c r="K147" s="242" t="n">
        <v>14945381</v>
      </c>
    </row>
    <row r="148">
      <c r="A148" s="408" t="n">
        <v>45597</v>
      </c>
      <c r="B148" s="242" t="n">
        <v>22500</v>
      </c>
      <c r="C148" s="242" t="n">
        <v>101842</v>
      </c>
      <c r="D148" s="242" t="n">
        <v>-1050</v>
      </c>
      <c r="E148" s="243" t="n">
        <v>-4.46</v>
      </c>
      <c r="F148" s="242" t="n">
        <v>23250</v>
      </c>
      <c r="G148" s="242" t="n">
        <v>23550</v>
      </c>
      <c r="H148" s="242" t="n">
        <v>22450</v>
      </c>
      <c r="I148" s="242" t="n">
        <v>2329881850</v>
      </c>
      <c r="J148" s="242" t="n">
        <v>336271072500</v>
      </c>
      <c r="K148" s="242" t="n">
        <v>14945381</v>
      </c>
    </row>
    <row r="149">
      <c r="A149" s="408" t="n">
        <v>45600</v>
      </c>
      <c r="B149" s="242" t="n">
        <v>23050</v>
      </c>
      <c r="C149" s="242" t="n">
        <v>60802</v>
      </c>
      <c r="D149" s="242" t="n">
        <v>550</v>
      </c>
      <c r="E149" s="243" t="n">
        <v>2.44</v>
      </c>
      <c r="F149" s="242" t="n">
        <v>22300</v>
      </c>
      <c r="G149" s="242" t="n">
        <v>23300</v>
      </c>
      <c r="H149" s="242" t="n">
        <v>22300</v>
      </c>
      <c r="I149" s="242" t="n">
        <v>1398418400</v>
      </c>
      <c r="J149" s="242" t="n">
        <v>344491032050</v>
      </c>
      <c r="K149" s="242" t="n">
        <v>14945381</v>
      </c>
    </row>
    <row r="150">
      <c r="A150" s="408" t="n">
        <v>45601</v>
      </c>
      <c r="B150" s="242" t="n">
        <v>23500</v>
      </c>
      <c r="C150" s="242" t="n">
        <v>64404</v>
      </c>
      <c r="D150" s="242" t="n">
        <v>450</v>
      </c>
      <c r="E150" s="243" t="n">
        <v>1.95</v>
      </c>
      <c r="F150" s="242" t="n">
        <v>23000</v>
      </c>
      <c r="G150" s="242" t="n">
        <v>23650</v>
      </c>
      <c r="H150" s="242" t="n">
        <v>22300</v>
      </c>
      <c r="I150" s="242" t="n">
        <v>1497279400</v>
      </c>
      <c r="J150" s="242" t="n">
        <v>351216453500</v>
      </c>
      <c r="K150" s="242" t="n">
        <v>14945381</v>
      </c>
    </row>
    <row r="151">
      <c r="A151" s="408" t="n">
        <v>45602</v>
      </c>
      <c r="B151" s="242" t="n">
        <v>22700</v>
      </c>
      <c r="C151" s="242" t="n">
        <v>92976</v>
      </c>
      <c r="D151" s="242" t="n">
        <v>-800</v>
      </c>
      <c r="E151" s="243" t="n">
        <v>-3.4</v>
      </c>
      <c r="F151" s="242" t="n">
        <v>23800</v>
      </c>
      <c r="G151" s="242" t="n">
        <v>23850</v>
      </c>
      <c r="H151" s="242" t="n">
        <v>22400</v>
      </c>
      <c r="I151" s="242" t="n">
        <v>2133064950</v>
      </c>
      <c r="J151" s="242" t="n">
        <v>339260148700</v>
      </c>
      <c r="K151" s="242" t="n">
        <v>14945381</v>
      </c>
    </row>
    <row r="152">
      <c r="A152" s="408" t="n">
        <v>45603</v>
      </c>
      <c r="B152" s="242" t="n">
        <v>23950</v>
      </c>
      <c r="C152" s="242" t="n">
        <v>927211</v>
      </c>
      <c r="D152" s="242" t="n">
        <v>1250</v>
      </c>
      <c r="E152" s="243" t="n">
        <v>5.51</v>
      </c>
      <c r="F152" s="242" t="n">
        <v>23100</v>
      </c>
      <c r="G152" s="242" t="n">
        <v>26900</v>
      </c>
      <c r="H152" s="242" t="n">
        <v>22900</v>
      </c>
      <c r="I152" s="242" t="n">
        <v>23236166800</v>
      </c>
      <c r="J152" s="242" t="n">
        <v>357941874950</v>
      </c>
      <c r="K152" s="242" t="n">
        <v>14945381</v>
      </c>
    </row>
    <row r="153">
      <c r="A153" s="408" t="n">
        <v>45604</v>
      </c>
      <c r="B153" s="242" t="n">
        <v>24100</v>
      </c>
      <c r="C153" s="242" t="n">
        <v>136441</v>
      </c>
      <c r="D153" s="242" t="n">
        <v>150</v>
      </c>
      <c r="E153" s="243" t="n">
        <v>0.63</v>
      </c>
      <c r="F153" s="242" t="n">
        <v>24050</v>
      </c>
      <c r="G153" s="242" t="n">
        <v>24500</v>
      </c>
      <c r="H153" s="242" t="n">
        <v>23800</v>
      </c>
      <c r="I153" s="242" t="n">
        <v>3300314100</v>
      </c>
      <c r="J153" s="242" t="n">
        <v>360183682100</v>
      </c>
      <c r="K153" s="242" t="n">
        <v>14945381</v>
      </c>
    </row>
    <row r="154">
      <c r="A154" s="408" t="n">
        <v>45607</v>
      </c>
      <c r="B154" s="242" t="n">
        <v>23400</v>
      </c>
      <c r="C154" s="242" t="n">
        <v>187637</v>
      </c>
      <c r="D154" s="242" t="n">
        <v>-700</v>
      </c>
      <c r="E154" s="243" t="n">
        <v>-2.9</v>
      </c>
      <c r="F154" s="242" t="n">
        <v>24300</v>
      </c>
      <c r="G154" s="242" t="n">
        <v>24900</v>
      </c>
      <c r="H154" s="242" t="n">
        <v>23400</v>
      </c>
      <c r="I154" s="242" t="n">
        <v>4531208250</v>
      </c>
      <c r="J154" s="242" t="n">
        <v>349721915400</v>
      </c>
      <c r="K154" s="242" t="n">
        <v>14945381</v>
      </c>
    </row>
    <row r="155">
      <c r="A155" s="408" t="n">
        <v>45608</v>
      </c>
      <c r="B155" s="242" t="n">
        <v>24600</v>
      </c>
      <c r="C155" s="242" t="n">
        <v>1100628</v>
      </c>
      <c r="D155" s="242" t="n">
        <v>1200</v>
      </c>
      <c r="E155" s="243" t="n">
        <v>5.13</v>
      </c>
      <c r="F155" s="242" t="n">
        <v>23200</v>
      </c>
      <c r="G155" s="242" t="n">
        <v>26900</v>
      </c>
      <c r="H155" s="242" t="n">
        <v>23200</v>
      </c>
      <c r="I155" s="242" t="n">
        <v>28057621600</v>
      </c>
      <c r="J155" s="242" t="n">
        <v>367656372600</v>
      </c>
      <c r="K155" s="242" t="n">
        <v>14945381</v>
      </c>
    </row>
    <row r="156">
      <c r="A156" s="408" t="n">
        <v>45609</v>
      </c>
      <c r="B156" s="242" t="n">
        <v>22550</v>
      </c>
      <c r="C156" s="242" t="n">
        <v>860963</v>
      </c>
      <c r="D156" s="242" t="n">
        <v>-2050</v>
      </c>
      <c r="E156" s="243" t="n">
        <v>-8.33</v>
      </c>
      <c r="F156" s="242" t="n">
        <v>24100</v>
      </c>
      <c r="G156" s="242" t="n">
        <v>25900</v>
      </c>
      <c r="H156" s="242" t="n">
        <v>22500</v>
      </c>
      <c r="I156" s="242" t="n">
        <v>21142304800</v>
      </c>
      <c r="J156" s="242" t="n">
        <v>337018341550</v>
      </c>
      <c r="K156" s="242" t="n">
        <v>14945381</v>
      </c>
    </row>
    <row r="157">
      <c r="A157" s="408" t="n">
        <v>45610</v>
      </c>
      <c r="B157" s="242" t="n">
        <v>22000</v>
      </c>
      <c r="C157" s="242" t="n">
        <v>217561</v>
      </c>
      <c r="D157" s="242" t="n">
        <v>-550</v>
      </c>
      <c r="E157" s="243" t="n">
        <v>-2.44</v>
      </c>
      <c r="F157" s="242" t="n">
        <v>22850</v>
      </c>
      <c r="G157" s="242" t="n">
        <v>23250</v>
      </c>
      <c r="H157" s="242" t="n">
        <v>22000</v>
      </c>
      <c r="I157" s="242" t="n">
        <v>4904770950</v>
      </c>
      <c r="J157" s="242" t="n">
        <v>328798382000</v>
      </c>
      <c r="K157" s="242" t="n">
        <v>14945381</v>
      </c>
    </row>
    <row r="158">
      <c r="A158" s="408" t="n">
        <v>45611</v>
      </c>
      <c r="B158" s="242" t="n">
        <v>22850</v>
      </c>
      <c r="C158" s="242" t="n">
        <v>205286</v>
      </c>
      <c r="D158" s="242" t="n">
        <v>850</v>
      </c>
      <c r="E158" s="243" t="n">
        <v>3.86</v>
      </c>
      <c r="F158" s="242" t="n">
        <v>21700</v>
      </c>
      <c r="G158" s="242" t="n">
        <v>23150</v>
      </c>
      <c r="H158" s="242" t="n">
        <v>21600</v>
      </c>
      <c r="I158" s="242" t="n">
        <v>4650753600</v>
      </c>
      <c r="J158" s="242" t="n">
        <v>341501955850</v>
      </c>
      <c r="K158" s="242" t="n">
        <v>14945381</v>
      </c>
    </row>
    <row r="159">
      <c r="A159" s="408" t="n">
        <v>45614</v>
      </c>
      <c r="B159" s="242" t="n">
        <v>23450</v>
      </c>
      <c r="C159" s="242" t="n">
        <v>200047</v>
      </c>
      <c r="D159" s="242" t="n">
        <v>600</v>
      </c>
      <c r="E159" s="243" t="n">
        <v>2.63</v>
      </c>
      <c r="F159" s="242" t="n">
        <v>22850</v>
      </c>
      <c r="G159" s="242" t="n">
        <v>24350</v>
      </c>
      <c r="H159" s="242" t="n">
        <v>22600</v>
      </c>
      <c r="I159" s="242" t="n">
        <v>4723104950</v>
      </c>
      <c r="J159" s="242" t="n">
        <v>350469184450</v>
      </c>
      <c r="K159" s="242" t="n">
        <v>14945381</v>
      </c>
    </row>
    <row r="160">
      <c r="A160" s="408" t="n">
        <v>45615</v>
      </c>
      <c r="B160" s="242" t="n">
        <v>24100</v>
      </c>
      <c r="C160" s="242" t="n">
        <v>355131</v>
      </c>
      <c r="D160" s="242" t="n">
        <v>650</v>
      </c>
      <c r="E160" s="243" t="n">
        <v>2.77</v>
      </c>
      <c r="F160" s="242" t="n">
        <v>23800</v>
      </c>
      <c r="G160" s="242" t="n">
        <v>25150</v>
      </c>
      <c r="H160" s="242" t="n">
        <v>23650</v>
      </c>
      <c r="I160" s="242" t="n">
        <v>8661234800</v>
      </c>
      <c r="J160" s="242" t="n">
        <v>360183682100</v>
      </c>
      <c r="K160" s="242" t="n">
        <v>14945381</v>
      </c>
    </row>
    <row r="161">
      <c r="A161" s="408" t="n">
        <v>45616</v>
      </c>
      <c r="B161" s="242" t="n">
        <v>23600</v>
      </c>
      <c r="C161" s="242" t="n">
        <v>120897</v>
      </c>
      <c r="D161" s="242" t="n">
        <v>-500</v>
      </c>
      <c r="E161" s="243" t="n">
        <v>-2.07</v>
      </c>
      <c r="F161" s="242" t="n">
        <v>24650</v>
      </c>
      <c r="G161" s="242" t="n">
        <v>24650</v>
      </c>
      <c r="H161" s="242" t="n">
        <v>23400</v>
      </c>
      <c r="I161" s="242" t="n">
        <v>2881656250</v>
      </c>
      <c r="J161" s="242" t="n">
        <v>352710991600</v>
      </c>
      <c r="K161" s="242" t="n">
        <v>14945381</v>
      </c>
    </row>
    <row r="162">
      <c r="A162" s="408" t="n">
        <v>45617</v>
      </c>
      <c r="B162" s="242" t="n">
        <v>23200</v>
      </c>
      <c r="C162" s="242" t="n">
        <v>118013</v>
      </c>
      <c r="D162" s="242" t="n">
        <v>-400</v>
      </c>
      <c r="E162" s="243" t="n">
        <v>-1.69</v>
      </c>
      <c r="F162" s="242" t="n">
        <v>23900</v>
      </c>
      <c r="G162" s="242" t="n">
        <v>24350</v>
      </c>
      <c r="H162" s="242" t="n">
        <v>23100</v>
      </c>
      <c r="I162" s="242" t="n">
        <v>2773103100</v>
      </c>
      <c r="J162" s="242" t="n">
        <v>346732839200</v>
      </c>
      <c r="K162" s="242" t="n">
        <v>14945381</v>
      </c>
    </row>
    <row r="163">
      <c r="A163" s="408" t="n">
        <v>45618</v>
      </c>
      <c r="B163" s="242" t="n">
        <v>23800</v>
      </c>
      <c r="C163" s="242" t="n">
        <v>253670</v>
      </c>
      <c r="D163" s="242" t="n">
        <v>600</v>
      </c>
      <c r="E163" s="243" t="n">
        <v>2.59</v>
      </c>
      <c r="F163" s="242" t="n">
        <v>23850</v>
      </c>
      <c r="G163" s="242" t="n">
        <v>24850</v>
      </c>
      <c r="H163" s="242" t="n">
        <v>23700</v>
      </c>
      <c r="I163" s="242" t="n">
        <v>6132333200</v>
      </c>
      <c r="J163" s="242" t="n">
        <v>355700067800</v>
      </c>
      <c r="K163" s="242" t="n">
        <v>14945381</v>
      </c>
    </row>
    <row r="164">
      <c r="A164" s="408" t="n">
        <v>45621</v>
      </c>
      <c r="B164" s="242" t="n">
        <v>24000</v>
      </c>
      <c r="C164" s="242" t="n">
        <v>144906</v>
      </c>
      <c r="D164" s="242" t="n">
        <v>200</v>
      </c>
      <c r="E164" s="243" t="n">
        <v>0.84</v>
      </c>
      <c r="F164" s="242" t="n">
        <v>23900</v>
      </c>
      <c r="G164" s="242" t="n">
        <v>24300</v>
      </c>
      <c r="H164" s="242" t="n">
        <v>23900</v>
      </c>
      <c r="I164" s="242" t="n">
        <v>3487152900</v>
      </c>
      <c r="J164" s="242" t="n">
        <v>358689144000</v>
      </c>
      <c r="K164" s="242" t="n">
        <v>14945381</v>
      </c>
    </row>
    <row r="165">
      <c r="A165" s="408" t="n">
        <v>45622</v>
      </c>
      <c r="B165" s="242" t="n">
        <v>24300</v>
      </c>
      <c r="C165" s="242" t="n">
        <v>151912</v>
      </c>
      <c r="D165" s="242" t="n">
        <v>300</v>
      </c>
      <c r="E165" s="243" t="n">
        <v>1.25</v>
      </c>
      <c r="F165" s="242" t="n">
        <v>23900</v>
      </c>
      <c r="G165" s="242" t="n">
        <v>24700</v>
      </c>
      <c r="H165" s="242" t="n">
        <v>23450</v>
      </c>
      <c r="I165" s="242" t="n">
        <v>3673536800</v>
      </c>
      <c r="J165" s="242" t="n">
        <v>363172758300</v>
      </c>
      <c r="K165" s="242" t="n">
        <v>14945381</v>
      </c>
    </row>
    <row r="166">
      <c r="A166" s="408" t="n">
        <v>45623</v>
      </c>
      <c r="B166" s="242" t="n">
        <v>25500</v>
      </c>
      <c r="C166" s="242" t="n">
        <v>693913</v>
      </c>
      <c r="D166" s="242" t="n">
        <v>1200</v>
      </c>
      <c r="E166" s="243" t="n">
        <v>4.94</v>
      </c>
      <c r="F166" s="242" t="n">
        <v>24300</v>
      </c>
      <c r="G166" s="242" t="n">
        <v>25700</v>
      </c>
      <c r="H166" s="242" t="n">
        <v>23600</v>
      </c>
      <c r="I166" s="242" t="n">
        <v>17308246250</v>
      </c>
      <c r="J166" s="242" t="n">
        <v>381107215500</v>
      </c>
      <c r="K166" s="242" t="n">
        <v>14945381</v>
      </c>
    </row>
    <row r="167">
      <c r="A167" s="408" t="n">
        <v>45624</v>
      </c>
      <c r="B167" s="242" t="n">
        <v>25800</v>
      </c>
      <c r="C167" s="242" t="n">
        <v>622781</v>
      </c>
      <c r="D167" s="242" t="n">
        <v>300</v>
      </c>
      <c r="E167" s="243" t="n">
        <v>1.18</v>
      </c>
      <c r="F167" s="242" t="n">
        <v>26450</v>
      </c>
      <c r="G167" s="242" t="n">
        <v>26500</v>
      </c>
      <c r="H167" s="242" t="n">
        <v>25200</v>
      </c>
      <c r="I167" s="242" t="n">
        <v>16040761250</v>
      </c>
      <c r="J167" s="242" t="n">
        <v>385590829800</v>
      </c>
      <c r="K167" s="242" t="n">
        <v>14945381</v>
      </c>
    </row>
    <row r="168">
      <c r="A168" s="408" t="n">
        <v>45625</v>
      </c>
      <c r="B168" s="242" t="n">
        <v>24850</v>
      </c>
      <c r="C168" s="242" t="n">
        <v>401724</v>
      </c>
      <c r="D168" s="242" t="n">
        <v>-950</v>
      </c>
      <c r="E168" s="243" t="n">
        <v>-3.68</v>
      </c>
      <c r="F168" s="242" t="n">
        <v>25800</v>
      </c>
      <c r="G168" s="242" t="n">
        <v>25800</v>
      </c>
      <c r="H168" s="242" t="n">
        <v>24450</v>
      </c>
      <c r="I168" s="242" t="n">
        <v>10052033850</v>
      </c>
      <c r="J168" s="242" t="n">
        <v>371392717850</v>
      </c>
      <c r="K168" s="242" t="n">
        <v>14945381</v>
      </c>
    </row>
    <row r="169">
      <c r="A169" s="408" t="n">
        <v>45628</v>
      </c>
      <c r="B169" s="242" t="n">
        <v>23700</v>
      </c>
      <c r="C169" s="242" t="n">
        <v>298625</v>
      </c>
      <c r="D169" s="242" t="n">
        <v>-1150</v>
      </c>
      <c r="E169" s="243" t="n">
        <v>-4.63</v>
      </c>
      <c r="F169" s="242" t="n">
        <v>25200</v>
      </c>
      <c r="G169" s="242" t="n">
        <v>25500</v>
      </c>
      <c r="H169" s="242" t="n">
        <v>23700</v>
      </c>
      <c r="I169" s="242" t="n">
        <v>7376615100</v>
      </c>
      <c r="J169" s="242" t="n">
        <v>354205529700</v>
      </c>
      <c r="K169" s="242" t="n">
        <v>14945381</v>
      </c>
    </row>
    <row r="170">
      <c r="A170" s="408" t="n">
        <v>45629</v>
      </c>
      <c r="B170" s="242" t="n">
        <v>24050</v>
      </c>
      <c r="C170" s="242" t="n">
        <v>156219</v>
      </c>
      <c r="D170" s="242" t="n">
        <v>350</v>
      </c>
      <c r="E170" s="243" t="n">
        <v>1.48</v>
      </c>
      <c r="F170" s="242" t="n">
        <v>23700</v>
      </c>
      <c r="G170" s="242" t="n">
        <v>24500</v>
      </c>
      <c r="H170" s="242" t="n">
        <v>23500</v>
      </c>
      <c r="I170" s="242" t="n">
        <v>3746445700</v>
      </c>
      <c r="J170" s="242" t="n">
        <v>359436413050</v>
      </c>
      <c r="K170" s="242" t="n">
        <v>14945381</v>
      </c>
    </row>
    <row r="171">
      <c r="A171" s="408" t="n">
        <v>45630</v>
      </c>
      <c r="B171" s="242" t="n">
        <v>22900</v>
      </c>
      <c r="C171" s="242" t="n">
        <v>273993</v>
      </c>
      <c r="D171" s="242" t="n">
        <v>-1150</v>
      </c>
      <c r="E171" s="243" t="n">
        <v>-4.78</v>
      </c>
      <c r="F171" s="242" t="n">
        <v>23050</v>
      </c>
      <c r="G171" s="242" t="n">
        <v>23700</v>
      </c>
      <c r="H171" s="242" t="n">
        <v>22500</v>
      </c>
      <c r="I171" s="242" t="n">
        <v>6283225200</v>
      </c>
      <c r="J171" s="242" t="n">
        <v>342249224900</v>
      </c>
      <c r="K171" s="242" t="n">
        <v>14945381</v>
      </c>
    </row>
    <row r="172">
      <c r="A172" s="408" t="n">
        <v>45631</v>
      </c>
      <c r="B172" s="242" t="n">
        <v>22500</v>
      </c>
      <c r="C172" s="242" t="n">
        <v>117476</v>
      </c>
      <c r="D172" s="242" t="n">
        <v>-400</v>
      </c>
      <c r="E172" s="243" t="n">
        <v>-1.75</v>
      </c>
      <c r="F172" s="242" t="n">
        <v>23050</v>
      </c>
      <c r="G172" s="242" t="n">
        <v>23250</v>
      </c>
      <c r="H172" s="242" t="n">
        <v>22250</v>
      </c>
      <c r="I172" s="242" t="n">
        <v>2657833700</v>
      </c>
      <c r="J172" s="242" t="n">
        <v>336271072500</v>
      </c>
      <c r="K172" s="242" t="n">
        <v>14945381</v>
      </c>
    </row>
    <row r="173">
      <c r="A173" s="408" t="n">
        <v>45632</v>
      </c>
      <c r="B173" s="242" t="n">
        <v>23350</v>
      </c>
      <c r="C173" s="242" t="n">
        <v>374751</v>
      </c>
      <c r="D173" s="242" t="n">
        <v>850</v>
      </c>
      <c r="E173" s="243" t="n">
        <v>3.78</v>
      </c>
      <c r="F173" s="242" t="n">
        <v>22300</v>
      </c>
      <c r="G173" s="242" t="n">
        <v>24050</v>
      </c>
      <c r="H173" s="242" t="n">
        <v>21400</v>
      </c>
      <c r="I173" s="242" t="n">
        <v>8567717400</v>
      </c>
      <c r="J173" s="242" t="n">
        <v>348974646350</v>
      </c>
      <c r="K173" s="242" t="n">
        <v>14945381</v>
      </c>
    </row>
    <row r="174">
      <c r="A174" s="408" t="n">
        <v>45635</v>
      </c>
      <c r="B174" s="242" t="n">
        <v>20800</v>
      </c>
      <c r="C174" s="242" t="n">
        <v>313592</v>
      </c>
      <c r="D174" s="242" t="n">
        <v>-2550</v>
      </c>
      <c r="E174" s="243" t="n">
        <v>-10.92</v>
      </c>
      <c r="F174" s="242" t="n">
        <v>22500</v>
      </c>
      <c r="G174" s="242" t="n">
        <v>22750</v>
      </c>
      <c r="H174" s="242" t="n">
        <v>20800</v>
      </c>
      <c r="I174" s="242" t="n">
        <v>6762203850</v>
      </c>
      <c r="J174" s="242" t="n">
        <v>310863924800</v>
      </c>
      <c r="K174" s="242" t="n">
        <v>14945381</v>
      </c>
    </row>
    <row r="175">
      <c r="A175" s="408" t="n">
        <v>45636</v>
      </c>
      <c r="B175" s="242" t="n">
        <v>21650</v>
      </c>
      <c r="C175" s="242" t="n">
        <v>132210</v>
      </c>
      <c r="D175" s="242" t="n">
        <v>850</v>
      </c>
      <c r="E175" s="243" t="n">
        <v>4.09</v>
      </c>
      <c r="F175" s="242" t="n">
        <v>20800</v>
      </c>
      <c r="G175" s="242" t="n">
        <v>21800</v>
      </c>
      <c r="H175" s="242" t="n">
        <v>20800</v>
      </c>
      <c r="I175" s="242" t="n">
        <v>2836751750</v>
      </c>
      <c r="J175" s="242" t="n">
        <v>323567498650</v>
      </c>
      <c r="K175" s="242" t="n">
        <v>14945381</v>
      </c>
    </row>
    <row r="176">
      <c r="A176" s="408" t="n">
        <v>45637</v>
      </c>
      <c r="B176" s="242" t="n">
        <v>22950</v>
      </c>
      <c r="C176" s="242" t="n">
        <v>204385</v>
      </c>
      <c r="D176" s="242" t="n">
        <v>1300</v>
      </c>
      <c r="E176" s="243" t="n">
        <v>6</v>
      </c>
      <c r="F176" s="242" t="n">
        <v>21600</v>
      </c>
      <c r="G176" s="242" t="n">
        <v>23250</v>
      </c>
      <c r="H176" s="242" t="n">
        <v>21400</v>
      </c>
      <c r="I176" s="242" t="n">
        <v>4612639550</v>
      </c>
      <c r="J176" s="242" t="n">
        <v>342996493950</v>
      </c>
      <c r="K176" s="242" t="n">
        <v>14945381</v>
      </c>
    </row>
    <row r="177">
      <c r="A177" s="408" t="n">
        <v>45638</v>
      </c>
      <c r="B177" s="242" t="n">
        <v>22700</v>
      </c>
      <c r="C177" s="242" t="n">
        <v>110726</v>
      </c>
      <c r="D177" s="242" t="n">
        <v>-250</v>
      </c>
      <c r="E177" s="243" t="n">
        <v>-1.09</v>
      </c>
      <c r="F177" s="242" t="n">
        <v>22950</v>
      </c>
      <c r="G177" s="242" t="n">
        <v>23300</v>
      </c>
      <c r="H177" s="242" t="n">
        <v>22300</v>
      </c>
      <c r="I177" s="242" t="n">
        <v>2514821000</v>
      </c>
      <c r="J177" s="242" t="n">
        <v>339260148700</v>
      </c>
      <c r="K177" s="242" t="n">
        <v>14945381</v>
      </c>
    </row>
    <row r="178">
      <c r="A178" s="408" t="n">
        <v>45639</v>
      </c>
      <c r="B178" s="242" t="n">
        <v>22750</v>
      </c>
      <c r="C178" s="242" t="n">
        <v>77597</v>
      </c>
      <c r="D178" s="242" t="n">
        <v>50</v>
      </c>
      <c r="E178" s="243" t="n">
        <v>0.22</v>
      </c>
      <c r="F178" s="242" t="n">
        <v>22650</v>
      </c>
      <c r="G178" s="242" t="n">
        <v>23100</v>
      </c>
      <c r="H178" s="242" t="n">
        <v>22450</v>
      </c>
      <c r="I178" s="242" t="n">
        <v>1768690650</v>
      </c>
      <c r="J178" s="242" t="n">
        <v>340007417750</v>
      </c>
      <c r="K178" s="242" t="n">
        <v>14945381</v>
      </c>
    </row>
    <row r="179">
      <c r="A179" s="408" t="n">
        <v>45642</v>
      </c>
      <c r="B179" s="242" t="n">
        <v>23050</v>
      </c>
      <c r="C179" s="242" t="n">
        <v>151507</v>
      </c>
      <c r="D179" s="242" t="n">
        <v>300</v>
      </c>
      <c r="E179" s="243" t="n">
        <v>1.32</v>
      </c>
      <c r="F179" s="242" t="n">
        <v>23100</v>
      </c>
      <c r="G179" s="242" t="n">
        <v>23500</v>
      </c>
      <c r="H179" s="242" t="n">
        <v>22900</v>
      </c>
      <c r="I179" s="242" t="n">
        <v>3518019000</v>
      </c>
      <c r="J179" s="242" t="n">
        <v>344491032050</v>
      </c>
      <c r="K179" s="242" t="n">
        <v>14945381</v>
      </c>
    </row>
    <row r="180">
      <c r="A180" s="408" t="n">
        <v>45643</v>
      </c>
      <c r="B180" s="242" t="n">
        <v>22800</v>
      </c>
      <c r="C180" s="242" t="n">
        <v>100625</v>
      </c>
      <c r="D180" s="242" t="n">
        <v>-250</v>
      </c>
      <c r="E180" s="243" t="n">
        <v>-1.08</v>
      </c>
      <c r="F180" s="242" t="n">
        <v>22950</v>
      </c>
      <c r="G180" s="242" t="n">
        <v>23150</v>
      </c>
      <c r="H180" s="242" t="n">
        <v>22450</v>
      </c>
      <c r="I180" s="242" t="n">
        <v>2283410300</v>
      </c>
      <c r="J180" s="242" t="n">
        <v>340754686800</v>
      </c>
      <c r="K180" s="242" t="n">
        <v>14945381</v>
      </c>
    </row>
    <row r="181">
      <c r="A181" s="408" t="n">
        <v>45644</v>
      </c>
      <c r="B181" s="242" t="n">
        <v>22950</v>
      </c>
      <c r="C181" s="242" t="n">
        <v>156990</v>
      </c>
      <c r="D181" s="242" t="n">
        <v>150</v>
      </c>
      <c r="E181" s="243" t="n">
        <v>0.66</v>
      </c>
      <c r="F181" s="242" t="n">
        <v>22900</v>
      </c>
      <c r="G181" s="242" t="n">
        <v>23600</v>
      </c>
      <c r="H181" s="242" t="n">
        <v>22600</v>
      </c>
      <c r="I181" s="242" t="n">
        <v>3610258150</v>
      </c>
      <c r="J181" s="242" t="n">
        <v>342996493950</v>
      </c>
      <c r="K181" s="242" t="n">
        <v>14945381</v>
      </c>
    </row>
    <row r="182">
      <c r="A182" s="408" t="n">
        <v>45645</v>
      </c>
      <c r="B182" s="242" t="n">
        <v>22300</v>
      </c>
      <c r="C182" s="242" t="n">
        <v>69057</v>
      </c>
      <c r="D182" s="242" t="n">
        <v>-650</v>
      </c>
      <c r="E182" s="243" t="n">
        <v>-2.83</v>
      </c>
      <c r="F182" s="242" t="n">
        <v>21550</v>
      </c>
      <c r="G182" s="242" t="n">
        <v>22600</v>
      </c>
      <c r="H182" s="242" t="n">
        <v>21500</v>
      </c>
      <c r="I182" s="242" t="n">
        <v>1534623100</v>
      </c>
      <c r="J182" s="242" t="n">
        <v>333281996300</v>
      </c>
      <c r="K182" s="242" t="n">
        <v>14945381</v>
      </c>
    </row>
    <row r="183">
      <c r="A183" s="408" t="n">
        <v>45646</v>
      </c>
      <c r="B183" s="242" t="n">
        <v>21300</v>
      </c>
      <c r="C183" s="242" t="n">
        <v>124059</v>
      </c>
      <c r="D183" s="242" t="n">
        <v>-1000</v>
      </c>
      <c r="E183" s="243" t="n">
        <v>-4.48</v>
      </c>
      <c r="F183" s="242" t="n">
        <v>22300</v>
      </c>
      <c r="G183" s="242" t="n">
        <v>22500</v>
      </c>
      <c r="H183" s="242" t="n">
        <v>21300</v>
      </c>
      <c r="I183" s="242" t="n">
        <v>2683723500</v>
      </c>
      <c r="J183" s="242" t="n">
        <v>318336615300</v>
      </c>
      <c r="K183" s="242" t="n">
        <v>14945381</v>
      </c>
    </row>
    <row r="184">
      <c r="A184" s="408" t="n">
        <v>45649</v>
      </c>
      <c r="B184" s="242" t="n">
        <v>21700</v>
      </c>
      <c r="C184" s="242" t="n">
        <v>81901</v>
      </c>
      <c r="D184" s="242" t="n">
        <v>400</v>
      </c>
      <c r="E184" s="243" t="n">
        <v>1.88</v>
      </c>
      <c r="F184" s="242" t="n">
        <v>21400</v>
      </c>
      <c r="G184" s="242" t="n">
        <v>22050</v>
      </c>
      <c r="H184" s="242" t="n">
        <v>21250</v>
      </c>
      <c r="I184" s="242" t="n">
        <v>1778926350</v>
      </c>
      <c r="J184" s="242" t="n">
        <v>324314767700</v>
      </c>
      <c r="K184" s="242" t="n">
        <v>14945381</v>
      </c>
    </row>
    <row r="185">
      <c r="A185" s="408" t="n">
        <v>45650</v>
      </c>
      <c r="B185" s="242" t="n">
        <v>22350</v>
      </c>
      <c r="C185" s="242" t="n">
        <v>158168</v>
      </c>
      <c r="D185" s="242" t="n">
        <v>650</v>
      </c>
      <c r="E185" s="243" t="n">
        <v>3</v>
      </c>
      <c r="F185" s="242" t="n">
        <v>21350</v>
      </c>
      <c r="G185" s="242" t="n">
        <v>22700</v>
      </c>
      <c r="H185" s="242" t="n">
        <v>21350</v>
      </c>
      <c r="I185" s="242" t="n">
        <v>3526014950</v>
      </c>
      <c r="J185" s="242" t="n">
        <v>334029265350</v>
      </c>
      <c r="K185" s="242" t="n">
        <v>14945381</v>
      </c>
    </row>
    <row r="186">
      <c r="A186" s="408" t="n">
        <v>45652</v>
      </c>
      <c r="B186" s="242" t="n">
        <v>22300</v>
      </c>
      <c r="C186" s="242" t="n">
        <v>148203</v>
      </c>
      <c r="D186" s="242" t="n">
        <v>-50</v>
      </c>
      <c r="E186" s="243" t="n">
        <v>-0.22</v>
      </c>
      <c r="F186" s="242" t="n">
        <v>22600</v>
      </c>
      <c r="G186" s="242" t="n">
        <v>23100</v>
      </c>
      <c r="H186" s="242" t="n">
        <v>22300</v>
      </c>
      <c r="I186" s="242" t="n">
        <v>3351578450</v>
      </c>
      <c r="J186" s="242" t="n">
        <v>333281996300</v>
      </c>
      <c r="K186" s="242" t="n">
        <v>14945381</v>
      </c>
    </row>
    <row r="187">
      <c r="A187" s="408" t="n">
        <v>45653</v>
      </c>
      <c r="B187" s="242" t="n">
        <v>21650</v>
      </c>
      <c r="C187" s="242" t="n">
        <v>115251</v>
      </c>
      <c r="D187" s="242" t="n">
        <v>-650</v>
      </c>
      <c r="E187" s="243" t="n">
        <v>-2.91</v>
      </c>
      <c r="F187" s="242" t="n">
        <v>22200</v>
      </c>
      <c r="G187" s="242" t="n">
        <v>22500</v>
      </c>
      <c r="H187" s="242" t="n">
        <v>21300</v>
      </c>
      <c r="I187" s="242" t="n">
        <v>2504785250</v>
      </c>
      <c r="J187" s="242" t="n">
        <v>323567498650</v>
      </c>
      <c r="K187" s="242" t="n">
        <v>14945381</v>
      </c>
    </row>
    <row r="188">
      <c r="A188" s="408" t="n">
        <v>45656</v>
      </c>
      <c r="B188" s="242" t="n">
        <v>23050</v>
      </c>
      <c r="C188" s="242" t="n">
        <v>216212</v>
      </c>
      <c r="D188" s="242" t="n">
        <v>1400</v>
      </c>
      <c r="E188" s="243" t="n">
        <v>6.47</v>
      </c>
      <c r="F188" s="242" t="n">
        <v>21400</v>
      </c>
      <c r="G188" s="242" t="n">
        <v>23150</v>
      </c>
      <c r="H188" s="242" t="n">
        <v>21400</v>
      </c>
      <c r="I188" s="242" t="n">
        <v>4907803250</v>
      </c>
      <c r="J188" s="242" t="n">
        <v>344491032050</v>
      </c>
      <c r="K188" s="242" t="n">
        <v>14945381</v>
      </c>
    </row>
    <row r="189">
      <c r="A189" s="408" t="n">
        <v>45659</v>
      </c>
      <c r="B189" s="242" t="n">
        <v>26850</v>
      </c>
      <c r="C189" s="242" t="n">
        <v>1963229</v>
      </c>
      <c r="D189" s="242" t="n">
        <v>3800</v>
      </c>
      <c r="E189" s="243" t="n">
        <v>16.49</v>
      </c>
      <c r="F189" s="242" t="n">
        <v>25000</v>
      </c>
      <c r="G189" s="242" t="n">
        <v>26950</v>
      </c>
      <c r="H189" s="242" t="n">
        <v>24600</v>
      </c>
      <c r="I189" s="242" t="n">
        <v>50906100100</v>
      </c>
      <c r="J189" s="242" t="n">
        <v>401283479850</v>
      </c>
      <c r="K189" s="242" t="n">
        <v>14945381</v>
      </c>
    </row>
    <row r="190">
      <c r="A190" s="408" t="n">
        <v>45660</v>
      </c>
      <c r="B190" s="242" t="n">
        <v>25800</v>
      </c>
      <c r="C190" s="242" t="n">
        <v>849160</v>
      </c>
      <c r="D190" s="242" t="n">
        <v>-1050</v>
      </c>
      <c r="E190" s="243" t="n">
        <v>-3.91</v>
      </c>
      <c r="F190" s="242" t="n">
        <v>26650</v>
      </c>
      <c r="G190" s="242" t="n">
        <v>26650</v>
      </c>
      <c r="H190" s="242" t="n">
        <v>25000</v>
      </c>
      <c r="I190" s="242" t="n">
        <v>21761150350</v>
      </c>
      <c r="J190" s="242" t="n">
        <v>385590829800</v>
      </c>
      <c r="K190" s="242" t="n">
        <v>14945381</v>
      </c>
    </row>
    <row r="191">
      <c r="A191" s="408" t="n">
        <v>45663</v>
      </c>
      <c r="B191" s="242" t="n">
        <v>26450</v>
      </c>
      <c r="C191" s="242" t="n">
        <v>721916</v>
      </c>
      <c r="D191" s="242" t="n">
        <v>650</v>
      </c>
      <c r="E191" s="243" t="n">
        <v>2.52</v>
      </c>
      <c r="F191" s="242" t="n">
        <v>26450</v>
      </c>
      <c r="G191" s="242" t="n">
        <v>26850</v>
      </c>
      <c r="H191" s="242" t="n">
        <v>25850</v>
      </c>
      <c r="I191" s="242" t="n">
        <v>19029725100</v>
      </c>
      <c r="J191" s="242" t="n">
        <v>395305327450</v>
      </c>
      <c r="K191" s="242" t="n">
        <v>14945381</v>
      </c>
    </row>
    <row r="192">
      <c r="A192" s="408" t="n">
        <v>45664</v>
      </c>
      <c r="B192" s="242" t="n">
        <v>26000</v>
      </c>
      <c r="C192" s="242" t="n">
        <v>600115</v>
      </c>
      <c r="D192" s="242" t="n">
        <v>-450</v>
      </c>
      <c r="E192" s="243" t="n">
        <v>-1.7</v>
      </c>
      <c r="F192" s="242" t="n">
        <v>27250</v>
      </c>
      <c r="G192" s="242" t="n">
        <v>27450</v>
      </c>
      <c r="H192" s="242" t="n">
        <v>25850</v>
      </c>
      <c r="I192" s="242" t="n">
        <v>15983118650</v>
      </c>
      <c r="J192" s="242" t="n">
        <v>388579906000</v>
      </c>
      <c r="K192" s="242" t="n">
        <v>14945381</v>
      </c>
    </row>
    <row r="193">
      <c r="A193" s="408" t="n">
        <v>45665</v>
      </c>
      <c r="B193" s="242" t="n">
        <v>25300</v>
      </c>
      <c r="C193" s="242" t="n">
        <v>277161</v>
      </c>
      <c r="D193" s="242" t="n">
        <v>-700</v>
      </c>
      <c r="E193" s="243" t="n">
        <v>-2.69</v>
      </c>
      <c r="F193" s="242" t="n">
        <v>25800</v>
      </c>
      <c r="G193" s="242" t="n">
        <v>26150</v>
      </c>
      <c r="H193" s="242" t="n">
        <v>25150</v>
      </c>
      <c r="I193" s="242" t="n">
        <v>7088451200</v>
      </c>
      <c r="J193" s="242" t="n">
        <v>378118139300</v>
      </c>
      <c r="K193" s="242" t="n">
        <v>14945381</v>
      </c>
    </row>
    <row r="194">
      <c r="A194" s="408" t="n">
        <v>45666</v>
      </c>
      <c r="B194" s="242" t="n">
        <v>28100</v>
      </c>
      <c r="C194" s="242" t="n">
        <v>1893149</v>
      </c>
      <c r="D194" s="242" t="n">
        <v>2800</v>
      </c>
      <c r="E194" s="243" t="n">
        <v>11.07</v>
      </c>
      <c r="F194" s="242" t="n">
        <v>25300</v>
      </c>
      <c r="G194" s="242" t="n">
        <v>29100</v>
      </c>
      <c r="H194" s="242" t="n">
        <v>24500</v>
      </c>
      <c r="I194" s="242" t="n">
        <v>51875463200</v>
      </c>
      <c r="J194" s="242" t="n">
        <v>419965206100</v>
      </c>
      <c r="K194" s="242" t="n">
        <v>14945381</v>
      </c>
    </row>
    <row r="195">
      <c r="A195" s="408" t="n">
        <v>45667</v>
      </c>
      <c r="B195" s="242" t="n">
        <v>28100</v>
      </c>
      <c r="C195" s="242" t="n">
        <v>791780</v>
      </c>
      <c r="D195" s="242" t="n">
        <v>0</v>
      </c>
      <c r="E195" s="243" t="n">
        <v>0</v>
      </c>
      <c r="F195" s="242" t="n">
        <v>27800</v>
      </c>
      <c r="G195" s="242" t="n">
        <v>28650</v>
      </c>
      <c r="H195" s="242" t="n">
        <v>27350</v>
      </c>
      <c r="I195" s="242" t="n">
        <v>22259321300</v>
      </c>
      <c r="J195" s="242" t="n">
        <v>419965206100</v>
      </c>
      <c r="K195" s="242" t="n">
        <v>14945381</v>
      </c>
    </row>
    <row r="196">
      <c r="A196" s="408" t="n">
        <v>45670</v>
      </c>
      <c r="B196" s="242" t="n">
        <v>28750</v>
      </c>
      <c r="C196" s="242" t="n">
        <v>1166267</v>
      </c>
      <c r="D196" s="242" t="n">
        <v>650</v>
      </c>
      <c r="E196" s="243" t="n">
        <v>2.31</v>
      </c>
      <c r="F196" s="242" t="n">
        <v>28600</v>
      </c>
      <c r="G196" s="242" t="n">
        <v>29950</v>
      </c>
      <c r="H196" s="242" t="n">
        <v>28200</v>
      </c>
      <c r="I196" s="242" t="n">
        <v>34074486550</v>
      </c>
      <c r="J196" s="242" t="n">
        <v>429679703750</v>
      </c>
      <c r="K196" s="242" t="n">
        <v>14945381</v>
      </c>
    </row>
    <row r="197">
      <c r="A197" s="408" t="n">
        <v>45671</v>
      </c>
      <c r="B197" s="242" t="n">
        <v>28600</v>
      </c>
      <c r="C197" s="242" t="n">
        <v>507191</v>
      </c>
      <c r="D197" s="242" t="n">
        <v>-150</v>
      </c>
      <c r="E197" s="243" t="n">
        <v>-0.52</v>
      </c>
      <c r="F197" s="242" t="n">
        <v>28750</v>
      </c>
      <c r="G197" s="242" t="n">
        <v>29400</v>
      </c>
      <c r="H197" s="242" t="n">
        <v>27950</v>
      </c>
      <c r="I197" s="242" t="n">
        <v>14561138100</v>
      </c>
      <c r="J197" s="242" t="n">
        <v>427437896600</v>
      </c>
      <c r="K197" s="242" t="n">
        <v>14945381</v>
      </c>
    </row>
    <row r="198">
      <c r="A198" s="408" t="n">
        <v>45672</v>
      </c>
      <c r="B198" s="242" t="n">
        <v>27400</v>
      </c>
      <c r="C198" s="242" t="n">
        <v>423145</v>
      </c>
      <c r="D198" s="242" t="n">
        <v>-1200</v>
      </c>
      <c r="E198" s="243" t="n">
        <v>-4.2</v>
      </c>
      <c r="F198" s="242" t="n">
        <v>28700</v>
      </c>
      <c r="G198" s="242" t="n">
        <v>28750</v>
      </c>
      <c r="H198" s="242" t="n">
        <v>27150</v>
      </c>
      <c r="I198" s="242" t="n">
        <v>11794808750</v>
      </c>
      <c r="J198" s="242" t="n">
        <v>409503439400</v>
      </c>
      <c r="K198" s="242" t="n">
        <v>14945381</v>
      </c>
    </row>
    <row r="199">
      <c r="A199" s="408" t="n">
        <v>45673</v>
      </c>
      <c r="B199" s="242" t="n">
        <v>28600</v>
      </c>
      <c r="C199" s="242" t="n">
        <v>365260</v>
      </c>
      <c r="D199" s="242" t="n">
        <v>1200</v>
      </c>
      <c r="E199" s="243" t="n">
        <v>4.38</v>
      </c>
      <c r="F199" s="242" t="n">
        <v>27900</v>
      </c>
      <c r="G199" s="242" t="n">
        <v>28750</v>
      </c>
      <c r="H199" s="242" t="n">
        <v>27550</v>
      </c>
      <c r="I199" s="242" t="n">
        <v>10311436050</v>
      </c>
      <c r="J199" s="242" t="n">
        <v>428746346600</v>
      </c>
      <c r="K199" s="242" t="n">
        <v>14991131</v>
      </c>
    </row>
    <row r="200">
      <c r="A200" s="408" t="n">
        <v>45674</v>
      </c>
      <c r="B200" s="242" t="n">
        <v>28750</v>
      </c>
      <c r="C200" s="242" t="n">
        <v>348809</v>
      </c>
      <c r="D200" s="242" t="n">
        <v>150</v>
      </c>
      <c r="E200" s="243" t="n">
        <v>0.52</v>
      </c>
      <c r="F200" s="242" t="n">
        <v>28600</v>
      </c>
      <c r="G200" s="242" t="n">
        <v>29050</v>
      </c>
      <c r="H200" s="242" t="n">
        <v>27700</v>
      </c>
      <c r="I200" s="242" t="n">
        <v>9919458750</v>
      </c>
      <c r="J200" s="242" t="n">
        <v>430995016250</v>
      </c>
      <c r="K200" s="242" t="n">
        <v>14991131</v>
      </c>
    </row>
    <row r="201">
      <c r="A201" s="408" t="n">
        <v>45677</v>
      </c>
      <c r="B201" s="242" t="n">
        <v>29500</v>
      </c>
      <c r="C201" s="242" t="n">
        <v>694854</v>
      </c>
      <c r="D201" s="242" t="n">
        <v>750</v>
      </c>
      <c r="E201" s="243" t="n">
        <v>2.61</v>
      </c>
      <c r="F201" s="242" t="n">
        <v>29350</v>
      </c>
      <c r="G201" s="242" t="n">
        <v>30200</v>
      </c>
      <c r="H201" s="242" t="n">
        <v>29050</v>
      </c>
      <c r="I201" s="242" t="n">
        <v>20599479350</v>
      </c>
      <c r="J201" s="242" t="n">
        <v>442238364500</v>
      </c>
      <c r="K201" s="242" t="n">
        <v>14991131</v>
      </c>
    </row>
    <row r="202">
      <c r="A202" s="408" t="n">
        <v>45678</v>
      </c>
      <c r="B202" s="242" t="n">
        <v>30350</v>
      </c>
      <c r="C202" s="242" t="n">
        <v>2075138</v>
      </c>
      <c r="D202" s="242" t="n">
        <v>850</v>
      </c>
      <c r="E202" s="243" t="n">
        <v>2.88</v>
      </c>
      <c r="F202" s="242" t="n">
        <v>30200</v>
      </c>
      <c r="G202" s="242" t="n">
        <v>32500</v>
      </c>
      <c r="H202" s="242" t="n">
        <v>29300</v>
      </c>
      <c r="I202" s="242" t="n">
        <v>64357732350</v>
      </c>
      <c r="J202" s="242" t="n">
        <v>454980825850</v>
      </c>
      <c r="K202" s="242" t="n">
        <v>14991131</v>
      </c>
    </row>
    <row r="203">
      <c r="A203" s="408" t="n">
        <v>45679</v>
      </c>
      <c r="B203" s="242" t="n">
        <v>29750</v>
      </c>
      <c r="C203" s="242" t="n">
        <v>535040</v>
      </c>
      <c r="D203" s="242" t="n">
        <v>-600</v>
      </c>
      <c r="E203" s="243" t="n">
        <v>-1.98</v>
      </c>
      <c r="F203" s="242" t="n">
        <v>30900</v>
      </c>
      <c r="G203" s="242" t="n">
        <v>31050</v>
      </c>
      <c r="H203" s="242" t="n">
        <v>29450</v>
      </c>
      <c r="I203" s="242" t="n">
        <v>16171673050</v>
      </c>
      <c r="J203" s="242" t="n">
        <v>445986147250</v>
      </c>
      <c r="K203" s="242" t="n">
        <v>14991131</v>
      </c>
    </row>
    <row r="204">
      <c r="A204" s="408" t="n">
        <v>45680</v>
      </c>
      <c r="B204" s="242" t="n">
        <v>28500</v>
      </c>
      <c r="C204" s="242" t="n">
        <v>412017</v>
      </c>
      <c r="D204" s="242" t="n">
        <v>-1250</v>
      </c>
      <c r="E204" s="243" t="n">
        <v>-4.2</v>
      </c>
      <c r="F204" s="242" t="n">
        <v>29800</v>
      </c>
      <c r="G204" s="242" t="n">
        <v>30250</v>
      </c>
      <c r="H204" s="242" t="n">
        <v>28350</v>
      </c>
      <c r="I204" s="242" t="n">
        <v>11964687800</v>
      </c>
      <c r="J204" s="242" t="n">
        <v>427247233500</v>
      </c>
      <c r="K204" s="242" t="n">
        <v>14991131</v>
      </c>
    </row>
    <row r="205">
      <c r="A205" s="408" t="n">
        <v>45681</v>
      </c>
      <c r="B205" s="242" t="n">
        <v>29050</v>
      </c>
      <c r="C205" s="242" t="n">
        <v>382518</v>
      </c>
      <c r="D205" s="242" t="n">
        <v>550</v>
      </c>
      <c r="E205" s="243" t="n">
        <v>1.93</v>
      </c>
      <c r="F205" s="242" t="n">
        <v>28050</v>
      </c>
      <c r="G205" s="242" t="n">
        <v>29500</v>
      </c>
      <c r="H205" s="242" t="n">
        <v>27950</v>
      </c>
      <c r="I205" s="242" t="n">
        <v>11037414500</v>
      </c>
      <c r="J205" s="242" t="n">
        <v>435492355550</v>
      </c>
      <c r="K205" s="242" t="n">
        <v>14991131</v>
      </c>
    </row>
    <row r="206">
      <c r="A206" s="408" t="n">
        <v>45688</v>
      </c>
      <c r="B206" s="242" t="n">
        <v>30000</v>
      </c>
      <c r="C206" s="242" t="n">
        <v>614599</v>
      </c>
      <c r="D206" s="242" t="n">
        <v>950</v>
      </c>
      <c r="E206" s="243" t="n">
        <v>3.27</v>
      </c>
      <c r="F206" s="242" t="n">
        <v>29000</v>
      </c>
      <c r="G206" s="242" t="n">
        <v>30800</v>
      </c>
      <c r="H206" s="242" t="n">
        <v>28700</v>
      </c>
      <c r="I206" s="242" t="n">
        <v>18436692650</v>
      </c>
      <c r="J206" s="242" t="n">
        <v>449733930000</v>
      </c>
      <c r="K206" s="242" t="n">
        <v>14991131</v>
      </c>
    </row>
    <row r="207">
      <c r="A207" s="408" t="n">
        <v>45691</v>
      </c>
      <c r="B207" s="242" t="n">
        <v>28550</v>
      </c>
      <c r="C207" s="242" t="n">
        <v>427126</v>
      </c>
      <c r="D207" s="242" t="n">
        <v>-1450</v>
      </c>
      <c r="E207" s="243" t="n">
        <v>-4.83</v>
      </c>
      <c r="F207" s="242" t="n">
        <v>29600</v>
      </c>
      <c r="G207" s="242" t="n">
        <v>30200</v>
      </c>
      <c r="H207" s="242" t="n">
        <v>28300</v>
      </c>
      <c r="I207" s="242" t="n">
        <v>12435211950</v>
      </c>
      <c r="J207" s="242" t="n">
        <v>427996790050</v>
      </c>
      <c r="K207" s="242" t="n">
        <v>14991131</v>
      </c>
    </row>
    <row r="208">
      <c r="A208" s="408" t="n">
        <v>45692</v>
      </c>
      <c r="B208" s="242" t="n">
        <v>30300</v>
      </c>
      <c r="C208" s="242" t="n">
        <v>1456219</v>
      </c>
      <c r="D208" s="242" t="n">
        <v>1750</v>
      </c>
      <c r="E208" s="243" t="n">
        <v>6.13</v>
      </c>
      <c r="F208" s="242" t="n">
        <v>28800</v>
      </c>
      <c r="G208" s="242" t="n">
        <v>31750</v>
      </c>
      <c r="H208" s="242" t="n">
        <v>28800</v>
      </c>
      <c r="I208" s="242" t="n">
        <v>44408091750</v>
      </c>
      <c r="J208" s="242" t="n">
        <v>454231269300</v>
      </c>
      <c r="K208" s="242" t="n">
        <v>14991131</v>
      </c>
    </row>
    <row r="209">
      <c r="A209" s="408" t="n">
        <v>45693</v>
      </c>
      <c r="B209" s="242" t="n">
        <v>31100</v>
      </c>
      <c r="C209" s="242" t="n">
        <v>962830</v>
      </c>
      <c r="D209" s="242" t="n">
        <v>800</v>
      </c>
      <c r="E209" s="243" t="n">
        <v>2.64</v>
      </c>
      <c r="F209" s="242" t="n">
        <v>30200</v>
      </c>
      <c r="G209" s="242" t="n">
        <v>31800</v>
      </c>
      <c r="H209" s="242" t="n">
        <v>30000</v>
      </c>
      <c r="I209" s="242" t="n">
        <v>29869103000</v>
      </c>
      <c r="J209" s="242" t="n">
        <v>466224174100</v>
      </c>
      <c r="K209" s="242" t="n">
        <v>14991131</v>
      </c>
    </row>
    <row r="210">
      <c r="A210" s="408" t="n">
        <v>45694</v>
      </c>
      <c r="B210" s="242" t="n">
        <v>30150</v>
      </c>
      <c r="C210" s="242" t="n">
        <v>569994</v>
      </c>
      <c r="D210" s="242" t="n">
        <v>-950</v>
      </c>
      <c r="E210" s="243" t="n">
        <v>-3.05</v>
      </c>
      <c r="F210" s="242" t="n">
        <v>30950</v>
      </c>
      <c r="G210" s="242" t="n">
        <v>31250</v>
      </c>
      <c r="H210" s="242" t="n">
        <v>29550</v>
      </c>
      <c r="I210" s="242" t="n">
        <v>17205355350</v>
      </c>
      <c r="J210" s="242" t="n">
        <v>451982599650</v>
      </c>
      <c r="K210" s="242" t="n">
        <v>14991131</v>
      </c>
    </row>
    <row r="211">
      <c r="A211" s="408" t="n">
        <v>45695</v>
      </c>
      <c r="B211" s="242" t="n">
        <v>30600</v>
      </c>
      <c r="C211" s="242" t="n">
        <v>453987</v>
      </c>
      <c r="D211" s="242" t="n">
        <v>450</v>
      </c>
      <c r="E211" s="243" t="n">
        <v>1.49</v>
      </c>
      <c r="F211" s="242" t="n">
        <v>30550</v>
      </c>
      <c r="G211" s="242" t="n">
        <v>31350</v>
      </c>
      <c r="H211" s="242" t="n">
        <v>30100</v>
      </c>
      <c r="I211" s="242" t="n">
        <v>13904632900</v>
      </c>
      <c r="J211" s="242" t="n">
        <v>458728608600</v>
      </c>
      <c r="K211" s="242" t="n">
        <v>14991131</v>
      </c>
    </row>
    <row r="212">
      <c r="A212" s="408" t="n">
        <v>45698</v>
      </c>
      <c r="B212" s="242" t="n">
        <v>31500</v>
      </c>
      <c r="C212" s="242" t="n">
        <v>1996372</v>
      </c>
      <c r="D212" s="242" t="n">
        <v>900</v>
      </c>
      <c r="E212" s="243" t="n">
        <v>2.94</v>
      </c>
      <c r="F212" s="242" t="n">
        <v>31400</v>
      </c>
      <c r="G212" s="242" t="n">
        <v>34250</v>
      </c>
      <c r="H212" s="242" t="n">
        <v>31050</v>
      </c>
      <c r="I212" s="242" t="n">
        <v>64982416550</v>
      </c>
      <c r="J212" s="242" t="n">
        <v>472220626500</v>
      </c>
      <c r="K212" s="242" t="n">
        <v>14991131</v>
      </c>
    </row>
    <row r="213">
      <c r="A213" s="408" t="n">
        <v>45699</v>
      </c>
      <c r="B213" s="242" t="n">
        <v>30650</v>
      </c>
      <c r="C213" s="242" t="n">
        <v>501799</v>
      </c>
      <c r="D213" s="242" t="n">
        <v>-850</v>
      </c>
      <c r="E213" s="243" t="n">
        <v>-2.7</v>
      </c>
      <c r="F213" s="242" t="n">
        <v>31400</v>
      </c>
      <c r="G213" s="242" t="n">
        <v>31400</v>
      </c>
      <c r="H213" s="242" t="n">
        <v>30450</v>
      </c>
      <c r="I213" s="242" t="n">
        <v>15466519100</v>
      </c>
      <c r="J213" s="242" t="n">
        <v>459478165150</v>
      </c>
      <c r="K213" s="242" t="n">
        <v>14991131</v>
      </c>
    </row>
    <row r="214">
      <c r="A214" s="408" t="n">
        <v>45700</v>
      </c>
      <c r="B214" s="242" t="n">
        <v>29400</v>
      </c>
      <c r="C214" s="242" t="n">
        <v>407375</v>
      </c>
      <c r="D214" s="242" t="n">
        <v>-1250</v>
      </c>
      <c r="E214" s="243" t="n">
        <v>-4.08</v>
      </c>
      <c r="F214" s="242" t="n">
        <v>30300</v>
      </c>
      <c r="G214" s="242" t="n">
        <v>30300</v>
      </c>
      <c r="H214" s="242" t="n">
        <v>29000</v>
      </c>
      <c r="I214" s="242" t="n">
        <v>11975665700</v>
      </c>
      <c r="J214" s="242" t="n">
        <v>440739251400</v>
      </c>
      <c r="K214" s="242" t="n">
        <v>14991131</v>
      </c>
    </row>
    <row r="215">
      <c r="A215" s="408" t="n">
        <v>45701</v>
      </c>
      <c r="B215" s="242" t="n">
        <v>29600</v>
      </c>
      <c r="C215" s="242" t="n">
        <v>197631</v>
      </c>
      <c r="D215" s="242" t="n">
        <v>200</v>
      </c>
      <c r="E215" s="243" t="n">
        <v>0.68</v>
      </c>
      <c r="F215" s="242" t="n">
        <v>29350</v>
      </c>
      <c r="G215" s="242" t="n">
        <v>29950</v>
      </c>
      <c r="H215" s="242" t="n">
        <v>29150</v>
      </c>
      <c r="I215" s="242" t="n">
        <v>5855575250</v>
      </c>
      <c r="J215" s="242" t="n">
        <v>443737477600</v>
      </c>
      <c r="K215" s="242" t="n">
        <v>14991131</v>
      </c>
    </row>
    <row r="216">
      <c r="A216" s="408" t="n">
        <v>45702</v>
      </c>
      <c r="B216" s="242" t="n">
        <v>29100</v>
      </c>
      <c r="C216" s="242" t="n">
        <v>315824</v>
      </c>
      <c r="D216" s="242" t="n">
        <v>-500</v>
      </c>
      <c r="E216" s="243" t="n">
        <v>-1.69</v>
      </c>
      <c r="F216" s="242" t="n">
        <v>29600</v>
      </c>
      <c r="G216" s="242" t="n">
        <v>30400</v>
      </c>
      <c r="H216" s="242" t="n">
        <v>29000</v>
      </c>
      <c r="I216" s="242" t="n">
        <v>9307285950</v>
      </c>
      <c r="J216" s="242" t="n">
        <v>436241912100</v>
      </c>
      <c r="K216" s="242" t="n">
        <v>14991131</v>
      </c>
    </row>
    <row r="217">
      <c r="A217" s="408" t="n">
        <v>45705</v>
      </c>
      <c r="B217" s="242" t="n">
        <v>29150</v>
      </c>
      <c r="C217" s="242" t="n">
        <v>227607</v>
      </c>
      <c r="D217" s="242" t="n">
        <v>50</v>
      </c>
      <c r="E217" s="243" t="n">
        <v>0.17</v>
      </c>
      <c r="F217" s="242" t="n">
        <v>29000</v>
      </c>
      <c r="G217" s="242" t="n">
        <v>29250</v>
      </c>
      <c r="H217" s="242" t="n">
        <v>28300</v>
      </c>
      <c r="I217" s="242" t="n">
        <v>6566557650</v>
      </c>
      <c r="J217" s="242" t="n">
        <v>436991468650</v>
      </c>
      <c r="K217" s="242" t="n">
        <v>14991131</v>
      </c>
    </row>
    <row r="218">
      <c r="A218" s="408" t="n">
        <v>45706</v>
      </c>
      <c r="B218" s="242" t="n">
        <v>30550</v>
      </c>
      <c r="C218" s="242" t="n">
        <v>968483</v>
      </c>
      <c r="D218" s="242" t="n">
        <v>1400</v>
      </c>
      <c r="E218" s="243" t="n">
        <v>4.8</v>
      </c>
      <c r="F218" s="242" t="n">
        <v>29300</v>
      </c>
      <c r="G218" s="242" t="n">
        <v>31650</v>
      </c>
      <c r="H218" s="242" t="n">
        <v>28850</v>
      </c>
      <c r="I218" s="242" t="n">
        <v>29516024300</v>
      </c>
      <c r="J218" s="242" t="n">
        <v>457979052050</v>
      </c>
      <c r="K218" s="242" t="n">
        <v>14991131</v>
      </c>
    </row>
    <row r="219">
      <c r="A219" s="408" t="n">
        <v>45707</v>
      </c>
      <c r="B219" s="242" t="n">
        <v>29950</v>
      </c>
      <c r="C219" s="242" t="n">
        <v>303208</v>
      </c>
      <c r="D219" s="242" t="n">
        <v>-600</v>
      </c>
      <c r="E219" s="243" t="n">
        <v>-1.96</v>
      </c>
      <c r="F219" s="242" t="n">
        <v>30800</v>
      </c>
      <c r="G219" s="242" t="n">
        <v>30850</v>
      </c>
      <c r="H219" s="242" t="n">
        <v>29700</v>
      </c>
      <c r="I219" s="242" t="n">
        <v>9113882250</v>
      </c>
      <c r="J219" s="242" t="n">
        <v>448984373450</v>
      </c>
      <c r="K219" s="242" t="n">
        <v>14991131</v>
      </c>
    </row>
    <row r="220">
      <c r="A220" s="408" t="n">
        <v>45708</v>
      </c>
      <c r="B220" s="242" t="n">
        <v>28700</v>
      </c>
      <c r="C220" s="242" t="n">
        <v>239140</v>
      </c>
      <c r="D220" s="242" t="n">
        <v>-1250</v>
      </c>
      <c r="E220" s="243" t="n">
        <v>-4.17</v>
      </c>
      <c r="F220" s="242" t="n">
        <v>29650</v>
      </c>
      <c r="G220" s="242" t="n">
        <v>29900</v>
      </c>
      <c r="H220" s="242" t="n">
        <v>28700</v>
      </c>
      <c r="I220" s="242" t="n">
        <v>6946782650</v>
      </c>
      <c r="J220" s="242" t="n">
        <v>430245459700</v>
      </c>
      <c r="K220" s="242" t="n">
        <v>14991131</v>
      </c>
    </row>
    <row r="221">
      <c r="A221" s="408" t="n">
        <v>45709</v>
      </c>
      <c r="B221" s="242" t="n">
        <v>29050</v>
      </c>
      <c r="C221" s="242" t="n">
        <v>172868</v>
      </c>
      <c r="D221" s="242" t="n">
        <v>350</v>
      </c>
      <c r="E221" s="243" t="n">
        <v>1.22</v>
      </c>
      <c r="F221" s="242" t="n">
        <v>28500</v>
      </c>
      <c r="G221" s="242" t="n">
        <v>29500</v>
      </c>
      <c r="H221" s="242" t="n">
        <v>28200</v>
      </c>
      <c r="I221" s="242" t="n">
        <v>5011206450</v>
      </c>
      <c r="J221" s="242" t="n">
        <v>435492355550</v>
      </c>
      <c r="K221" s="242" t="n">
        <v>14991131</v>
      </c>
    </row>
    <row r="222">
      <c r="A222" s="408" t="n">
        <v>45712</v>
      </c>
      <c r="B222" s="242" t="n">
        <v>28000</v>
      </c>
      <c r="C222" s="242" t="n">
        <v>206509</v>
      </c>
      <c r="D222" s="242" t="n">
        <v>-1050</v>
      </c>
      <c r="E222" s="243" t="n">
        <v>-3.61</v>
      </c>
      <c r="F222" s="242" t="n">
        <v>28250</v>
      </c>
      <c r="G222" s="242" t="n">
        <v>28450</v>
      </c>
      <c r="H222" s="242" t="n">
        <v>27700</v>
      </c>
      <c r="I222" s="242" t="n">
        <v>5766866050</v>
      </c>
      <c r="J222" s="242" t="n">
        <v>419751668000</v>
      </c>
      <c r="K222" s="242" t="n">
        <v>14991131</v>
      </c>
    </row>
    <row r="223">
      <c r="A223" s="408" t="n">
        <v>45713</v>
      </c>
      <c r="B223" s="242" t="n">
        <v>27900</v>
      </c>
      <c r="C223" s="242" t="n">
        <v>159007</v>
      </c>
      <c r="D223" s="242" t="n">
        <v>-100</v>
      </c>
      <c r="E223" s="243" t="n">
        <v>-0.36</v>
      </c>
      <c r="F223" s="242" t="n">
        <v>27250</v>
      </c>
      <c r="G223" s="242" t="n">
        <v>28750</v>
      </c>
      <c r="H223" s="242" t="n">
        <v>27250</v>
      </c>
      <c r="I223" s="242" t="n">
        <v>4453467100</v>
      </c>
      <c r="J223" s="242" t="n">
        <v>418252554900</v>
      </c>
      <c r="K223" s="242" t="n">
        <v>14991131</v>
      </c>
    </row>
    <row r="224">
      <c r="A224" s="408" t="n">
        <v>45714</v>
      </c>
      <c r="B224" s="242" t="n">
        <v>27850</v>
      </c>
      <c r="C224" s="242" t="n">
        <v>89471</v>
      </c>
      <c r="D224" s="242" t="n">
        <v>-50</v>
      </c>
      <c r="E224" s="243" t="n">
        <v>-0.18</v>
      </c>
      <c r="F224" s="242" t="n">
        <v>28150</v>
      </c>
      <c r="G224" s="242" t="n">
        <v>28300</v>
      </c>
      <c r="H224" s="242" t="n">
        <v>27700</v>
      </c>
      <c r="I224" s="242" t="n">
        <v>2499003100</v>
      </c>
      <c r="J224" s="242" t="n">
        <v>417502998350</v>
      </c>
      <c r="K224" s="242" t="n">
        <v>14991131</v>
      </c>
    </row>
    <row r="225">
      <c r="A225" s="408" t="n">
        <v>45715</v>
      </c>
      <c r="B225" s="242" t="n">
        <v>27300</v>
      </c>
      <c r="C225" s="242" t="n">
        <v>129121</v>
      </c>
      <c r="D225" s="242" t="n">
        <v>-550</v>
      </c>
      <c r="E225" s="243" t="n">
        <v>-1.97</v>
      </c>
      <c r="F225" s="242" t="n">
        <v>28100</v>
      </c>
      <c r="G225" s="242" t="n">
        <v>28400</v>
      </c>
      <c r="H225" s="242" t="n">
        <v>27300</v>
      </c>
      <c r="I225" s="242" t="n">
        <v>3573306600</v>
      </c>
      <c r="J225" s="242" t="n">
        <v>409257876300</v>
      </c>
      <c r="K225" s="242" t="n">
        <v>14991131</v>
      </c>
    </row>
    <row r="226">
      <c r="A226" s="408" t="n">
        <v>45716</v>
      </c>
      <c r="B226" s="242" t="n">
        <v>25800</v>
      </c>
      <c r="C226" s="242" t="n">
        <v>199593</v>
      </c>
      <c r="D226" s="242" t="n">
        <v>-1500</v>
      </c>
      <c r="E226" s="243" t="n">
        <v>-5.49</v>
      </c>
      <c r="F226" s="242" t="n">
        <v>26850</v>
      </c>
      <c r="G226" s="242" t="n">
        <v>27050</v>
      </c>
      <c r="H226" s="242" t="n">
        <v>25800</v>
      </c>
      <c r="I226" s="242" t="n">
        <v>5216091200</v>
      </c>
      <c r="J226" s="242" t="n">
        <v>386771179800</v>
      </c>
      <c r="K226" s="242" t="n">
        <v>14991131</v>
      </c>
    </row>
    <row r="227">
      <c r="A227" s="408" t="n">
        <v>45720</v>
      </c>
      <c r="B227" s="242" t="n">
        <v>26750</v>
      </c>
      <c r="C227" s="242" t="n">
        <v>172920</v>
      </c>
      <c r="D227" s="242" t="n">
        <v>950</v>
      </c>
      <c r="E227" s="243" t="n">
        <v>3.68</v>
      </c>
      <c r="F227" s="242" t="n">
        <v>25250</v>
      </c>
      <c r="G227" s="242" t="n">
        <v>27100</v>
      </c>
      <c r="H227" s="242" t="n">
        <v>25000</v>
      </c>
      <c r="I227" s="242" t="n">
        <v>4577159600</v>
      </c>
      <c r="J227" s="242" t="n">
        <v>401012754250</v>
      </c>
      <c r="K227" s="242" t="n">
        <v>14991131</v>
      </c>
    </row>
    <row r="228">
      <c r="A228" s="408" t="n">
        <v>45721</v>
      </c>
      <c r="B228" s="242" t="n">
        <v>27500</v>
      </c>
      <c r="C228" s="242" t="n">
        <v>174676</v>
      </c>
      <c r="D228" s="242" t="n">
        <v>750</v>
      </c>
      <c r="E228" s="243" t="n">
        <v>2.8</v>
      </c>
      <c r="F228" s="242" t="n">
        <v>26600</v>
      </c>
      <c r="G228" s="242" t="n">
        <v>27750</v>
      </c>
      <c r="H228" s="242" t="n">
        <v>26500</v>
      </c>
      <c r="I228" s="242" t="n">
        <v>4768010200</v>
      </c>
      <c r="J228" s="242" t="n">
        <v>412256102500</v>
      </c>
      <c r="K228" s="242" t="n">
        <v>14991131</v>
      </c>
    </row>
    <row r="229">
      <c r="A229" s="408" t="n">
        <v>45722</v>
      </c>
      <c r="B229" s="242" t="n">
        <v>25950</v>
      </c>
      <c r="C229" s="242" t="n">
        <v>175507</v>
      </c>
      <c r="D229" s="242" t="n">
        <v>-1550</v>
      </c>
      <c r="E229" s="243" t="n">
        <v>-5.64</v>
      </c>
      <c r="F229" s="242" t="n">
        <v>27500</v>
      </c>
      <c r="G229" s="242" t="n">
        <v>27600</v>
      </c>
      <c r="H229" s="242" t="n">
        <v>25850</v>
      </c>
      <c r="I229" s="242" t="n">
        <v>4635737250</v>
      </c>
      <c r="J229" s="242" t="n">
        <v>389019849450</v>
      </c>
      <c r="K229" s="242" t="n">
        <v>14991131</v>
      </c>
    </row>
    <row r="230">
      <c r="A230" s="408" t="n">
        <v>45723</v>
      </c>
      <c r="B230" s="242" t="n">
        <v>25800</v>
      </c>
      <c r="C230" s="242" t="n">
        <v>99383</v>
      </c>
      <c r="D230" s="242" t="n">
        <v>-150</v>
      </c>
      <c r="E230" s="243" t="n">
        <v>-0.58</v>
      </c>
      <c r="F230" s="242" t="n">
        <v>25750</v>
      </c>
      <c r="G230" s="242" t="n">
        <v>26200</v>
      </c>
      <c r="H230" s="242" t="n">
        <v>25500</v>
      </c>
      <c r="I230" s="242" t="n">
        <v>2570066875</v>
      </c>
      <c r="J230" s="242" t="n">
        <v>386771179800</v>
      </c>
      <c r="K230" s="242" t="n">
        <v>14991131</v>
      </c>
    </row>
    <row r="231">
      <c r="A231" s="408" t="n">
        <v>45726</v>
      </c>
      <c r="B231" s="242" t="n">
        <v>26650</v>
      </c>
      <c r="C231" s="242" t="n">
        <v>161519</v>
      </c>
      <c r="D231" s="242" t="n">
        <v>850</v>
      </c>
      <c r="E231" s="243" t="n">
        <v>3.29</v>
      </c>
      <c r="F231" s="242" t="n">
        <v>25700</v>
      </c>
      <c r="G231" s="242" t="n">
        <v>27100</v>
      </c>
      <c r="H231" s="242" t="n">
        <v>25700</v>
      </c>
      <c r="I231" s="242" t="n">
        <v>4311210275</v>
      </c>
      <c r="J231" s="242" t="n">
        <v>399513641150</v>
      </c>
      <c r="K231" s="242" t="n">
        <v>14991131</v>
      </c>
    </row>
    <row r="232">
      <c r="A232" s="408" t="n">
        <v>45727</v>
      </c>
      <c r="B232" s="242" t="n">
        <v>27400</v>
      </c>
      <c r="C232" s="242" t="n">
        <v>225124</v>
      </c>
      <c r="D232" s="242" t="n">
        <v>750</v>
      </c>
      <c r="E232" s="243" t="n">
        <v>2.81</v>
      </c>
      <c r="F232" s="242" t="n">
        <v>25800</v>
      </c>
      <c r="G232" s="242" t="n">
        <v>27625</v>
      </c>
      <c r="H232" s="242" t="n">
        <v>25750</v>
      </c>
      <c r="I232" s="242" t="n">
        <v>6087851500</v>
      </c>
      <c r="J232" s="242" t="n">
        <v>410756989400</v>
      </c>
      <c r="K232" s="242" t="n">
        <v>14991131</v>
      </c>
    </row>
    <row r="233">
      <c r="A233" s="408" t="n">
        <v>45728</v>
      </c>
      <c r="B233" s="242" t="n">
        <v>27600</v>
      </c>
      <c r="C233" s="242" t="n">
        <v>174268</v>
      </c>
      <c r="D233" s="242" t="n">
        <v>200</v>
      </c>
      <c r="E233" s="243" t="n">
        <v>0.73</v>
      </c>
      <c r="F233" s="242" t="n">
        <v>27400</v>
      </c>
      <c r="G233" s="242" t="n">
        <v>28175</v>
      </c>
      <c r="H233" s="242" t="n">
        <v>27150</v>
      </c>
      <c r="I233" s="242" t="n">
        <v>4846430300</v>
      </c>
      <c r="J233" s="242" t="n">
        <v>413755215600</v>
      </c>
      <c r="K233" s="242" t="n">
        <v>14991131</v>
      </c>
    </row>
    <row r="234">
      <c r="A234" s="408" t="n">
        <v>45729</v>
      </c>
      <c r="B234" s="242" t="n">
        <v>27000</v>
      </c>
      <c r="C234" s="242" t="n">
        <v>120820</v>
      </c>
      <c r="D234" s="242" t="n">
        <v>-600</v>
      </c>
      <c r="E234" s="243" t="n">
        <v>-2.17</v>
      </c>
      <c r="F234" s="242" t="n">
        <v>28000</v>
      </c>
      <c r="G234" s="242" t="n">
        <v>28150</v>
      </c>
      <c r="H234" s="242" t="n">
        <v>27000</v>
      </c>
      <c r="I234" s="242" t="n">
        <v>3301007825</v>
      </c>
      <c r="J234" s="242" t="n">
        <v>404760537000</v>
      </c>
      <c r="K234" s="242" t="n">
        <v>14991131</v>
      </c>
    </row>
    <row r="235">
      <c r="A235" s="408" t="n">
        <v>45730</v>
      </c>
      <c r="B235" s="242" t="n">
        <v>28850</v>
      </c>
      <c r="C235" s="242" t="n">
        <v>388339</v>
      </c>
      <c r="D235" s="242" t="n">
        <v>1850</v>
      </c>
      <c r="E235" s="243" t="n">
        <v>6.85</v>
      </c>
      <c r="F235" s="242" t="n">
        <v>27200</v>
      </c>
      <c r="G235" s="242" t="n">
        <v>28850</v>
      </c>
      <c r="H235" s="242" t="n">
        <v>27200</v>
      </c>
      <c r="I235" s="242" t="n">
        <v>11048118900</v>
      </c>
      <c r="J235" s="242" t="n">
        <v>432494129350</v>
      </c>
      <c r="K235" s="242" t="n">
        <v>14991131</v>
      </c>
    </row>
    <row r="236">
      <c r="A236" s="408" t="n">
        <v>45733</v>
      </c>
      <c r="B236" s="242" t="n">
        <v>28800</v>
      </c>
      <c r="C236" s="242" t="n">
        <v>167543</v>
      </c>
      <c r="D236" s="242" t="n">
        <v>-50</v>
      </c>
      <c r="E236" s="243" t="n">
        <v>-0.17</v>
      </c>
      <c r="F236" s="242" t="n">
        <v>28850</v>
      </c>
      <c r="G236" s="242" t="n">
        <v>29200</v>
      </c>
      <c r="H236" s="242" t="n">
        <v>28300</v>
      </c>
      <c r="I236" s="242" t="n">
        <v>4819143800</v>
      </c>
      <c r="J236" s="242" t="n">
        <v>431744572800</v>
      </c>
      <c r="K236" s="242" t="n">
        <v>14991131</v>
      </c>
    </row>
    <row r="237">
      <c r="A237" s="408" t="n">
        <v>45734</v>
      </c>
      <c r="B237" s="242" t="n">
        <v>28900</v>
      </c>
      <c r="C237" s="242" t="n">
        <v>137189</v>
      </c>
      <c r="D237" s="242" t="n">
        <v>100</v>
      </c>
      <c r="E237" s="243" t="n">
        <v>0.35</v>
      </c>
      <c r="F237" s="242" t="n">
        <v>28800</v>
      </c>
      <c r="G237" s="242" t="n">
        <v>29000</v>
      </c>
      <c r="H237" s="242" t="n">
        <v>28100</v>
      </c>
      <c r="I237" s="242" t="n">
        <v>3931618625</v>
      </c>
      <c r="J237" s="242" t="n">
        <v>433243685900</v>
      </c>
      <c r="K237" s="242" t="n">
        <v>14991131</v>
      </c>
    </row>
    <row r="238">
      <c r="A238" s="408" t="n">
        <v>45735</v>
      </c>
      <c r="B238" s="242" t="n">
        <v>27900</v>
      </c>
      <c r="C238" s="242" t="n">
        <v>126510</v>
      </c>
      <c r="D238" s="242" t="n">
        <v>-1000</v>
      </c>
      <c r="E238" s="243" t="n">
        <v>-3.46</v>
      </c>
      <c r="F238" s="242" t="n">
        <v>28500</v>
      </c>
      <c r="G238" s="242" t="n">
        <v>28800</v>
      </c>
      <c r="H238" s="242" t="n">
        <v>27800</v>
      </c>
      <c r="I238" s="242" t="n">
        <v>3559605700</v>
      </c>
      <c r="J238" s="242" t="n">
        <v>418252554900</v>
      </c>
      <c r="K238" s="242" t="n">
        <v>14991131</v>
      </c>
    </row>
    <row r="239">
      <c r="A239" s="408" t="n">
        <v>45736</v>
      </c>
      <c r="B239" s="242" t="n">
        <v>27550</v>
      </c>
      <c r="C239" s="242" t="n">
        <v>111653</v>
      </c>
      <c r="D239" s="242" t="n">
        <v>-350</v>
      </c>
      <c r="E239" s="243" t="n">
        <v>-1.25</v>
      </c>
      <c r="F239" s="242" t="n">
        <v>28000</v>
      </c>
      <c r="G239" s="242" t="n">
        <v>28300</v>
      </c>
      <c r="H239" s="242" t="n">
        <v>27550</v>
      </c>
      <c r="I239" s="242" t="n">
        <v>3103273800</v>
      </c>
      <c r="J239" s="242" t="n">
        <v>413005659050</v>
      </c>
      <c r="K239" s="242" t="n">
        <v>14991131</v>
      </c>
    </row>
    <row r="240">
      <c r="A240" s="408" t="n">
        <v>45737</v>
      </c>
      <c r="B240" s="242" t="n">
        <v>26300</v>
      </c>
      <c r="C240" s="242" t="n">
        <v>145497</v>
      </c>
      <c r="D240" s="242" t="n">
        <v>-1250</v>
      </c>
      <c r="E240" s="243" t="n">
        <v>-4.54</v>
      </c>
      <c r="F240" s="242" t="n">
        <v>27350</v>
      </c>
      <c r="G240" s="242" t="n">
        <v>27750</v>
      </c>
      <c r="H240" s="242" t="n">
        <v>26300</v>
      </c>
      <c r="I240" s="242" t="n">
        <v>3885042700</v>
      </c>
      <c r="J240" s="242" t="n">
        <v>394266745300</v>
      </c>
      <c r="K240" s="242" t="n">
        <v>14991131</v>
      </c>
    </row>
    <row r="241">
      <c r="A241" s="408" t="n">
        <v>45740</v>
      </c>
      <c r="B241" s="242" t="n">
        <v>26350</v>
      </c>
      <c r="C241" s="242" t="n">
        <v>102575</v>
      </c>
      <c r="D241" s="242" t="n">
        <v>50</v>
      </c>
      <c r="E241" s="243" t="n">
        <v>0.19</v>
      </c>
      <c r="F241" s="242" t="n">
        <v>26250</v>
      </c>
      <c r="G241" s="242" t="n">
        <v>27650</v>
      </c>
      <c r="H241" s="242" t="n">
        <v>26150</v>
      </c>
      <c r="I241" s="242" t="n">
        <v>2736074575</v>
      </c>
      <c r="J241" s="242" t="n">
        <v>395016301850</v>
      </c>
      <c r="K241" s="242" t="n">
        <v>14991131</v>
      </c>
    </row>
    <row r="242">
      <c r="A242" s="408" t="n">
        <v>45741</v>
      </c>
      <c r="B242" s="242" t="n">
        <v>25500</v>
      </c>
      <c r="C242" s="242" t="n">
        <v>92688</v>
      </c>
      <c r="D242" s="242" t="n">
        <v>-850</v>
      </c>
      <c r="E242" s="243" t="n">
        <v>-3.23</v>
      </c>
      <c r="F242" s="242" t="n">
        <v>26750</v>
      </c>
      <c r="G242" s="242" t="n">
        <v>27000</v>
      </c>
      <c r="H242" s="242" t="n">
        <v>25500</v>
      </c>
      <c r="I242" s="242" t="n">
        <v>2409994750</v>
      </c>
      <c r="J242" s="242" t="n">
        <v>382273840500</v>
      </c>
      <c r="K242" s="242" t="n">
        <v>14991131</v>
      </c>
    </row>
    <row r="243">
      <c r="A243" s="408" t="n">
        <v>45742</v>
      </c>
      <c r="B243" s="242" t="n">
        <v>25850</v>
      </c>
      <c r="C243" s="242" t="n">
        <v>58430</v>
      </c>
      <c r="D243" s="242" t="n">
        <v>350</v>
      </c>
      <c r="E243" s="243" t="n">
        <v>1.37</v>
      </c>
      <c r="F243" s="242" t="n">
        <v>25600</v>
      </c>
      <c r="G243" s="242" t="n">
        <v>25900</v>
      </c>
      <c r="H243" s="242" t="n">
        <v>25150</v>
      </c>
      <c r="I243" s="242" t="n">
        <v>1494682500</v>
      </c>
      <c r="J243" s="242" t="n">
        <v>387520736350</v>
      </c>
      <c r="K243" s="242" t="n">
        <v>14991131</v>
      </c>
    </row>
    <row r="244">
      <c r="A244" s="408" t="n">
        <v>45743</v>
      </c>
      <c r="B244" s="242" t="n">
        <v>25300</v>
      </c>
      <c r="C244" s="242" t="n">
        <v>58284</v>
      </c>
      <c r="D244" s="242" t="n">
        <v>-550</v>
      </c>
      <c r="E244" s="243" t="n">
        <v>-2.13</v>
      </c>
      <c r="F244" s="242" t="n">
        <v>25400</v>
      </c>
      <c r="G244" s="242" t="n">
        <v>25950</v>
      </c>
      <c r="H244" s="242" t="n">
        <v>25100</v>
      </c>
      <c r="I244" s="242" t="n">
        <v>1481860400</v>
      </c>
      <c r="J244" s="242" t="n">
        <v>379275614300</v>
      </c>
      <c r="K244" s="242" t="n">
        <v>14991131</v>
      </c>
    </row>
    <row r="245">
      <c r="A245" s="408" t="n">
        <v>45744</v>
      </c>
      <c r="B245" s="242" t="n">
        <v>24100</v>
      </c>
      <c r="C245" s="242" t="n">
        <v>97813</v>
      </c>
      <c r="D245" s="242" t="n">
        <v>-1200</v>
      </c>
      <c r="E245" s="243" t="n">
        <v>-4.74</v>
      </c>
      <c r="F245" s="242" t="n">
        <v>25300</v>
      </c>
      <c r="G245" s="242" t="n">
        <v>25600</v>
      </c>
      <c r="H245" s="242" t="n">
        <v>24050</v>
      </c>
      <c r="I245" s="242" t="n">
        <v>2392162625</v>
      </c>
      <c r="J245" s="242" t="n">
        <v>361286257100</v>
      </c>
      <c r="K245" s="242" t="n">
        <v>14991131</v>
      </c>
    </row>
    <row r="246">
      <c r="A246" s="408" t="n">
        <v>45747</v>
      </c>
      <c r="B246" s="242" t="n">
        <v>23150</v>
      </c>
      <c r="C246" s="242" t="n">
        <v>64539</v>
      </c>
      <c r="D246" s="242" t="n">
        <v>-950</v>
      </c>
      <c r="E246" s="243" t="n">
        <v>-3.94</v>
      </c>
      <c r="F246" s="242" t="n">
        <v>23450</v>
      </c>
      <c r="G246" s="242" t="n">
        <v>23750</v>
      </c>
      <c r="H246" s="242" t="n">
        <v>23100</v>
      </c>
      <c r="I246" s="242" t="n">
        <v>1509135600</v>
      </c>
      <c r="J246" s="242" t="n">
        <v>347044682650</v>
      </c>
      <c r="K246" s="242" t="n">
        <v>14991131</v>
      </c>
    </row>
    <row r="247">
      <c r="A247" s="408" t="n">
        <v>45748</v>
      </c>
      <c r="B247" s="242" t="n">
        <v>23400</v>
      </c>
      <c r="C247" s="242" t="n">
        <v>35342</v>
      </c>
      <c r="D247" s="242" t="n">
        <v>250</v>
      </c>
      <c r="E247" s="243" t="n">
        <v>1.08</v>
      </c>
      <c r="F247" s="242" t="n">
        <v>23250</v>
      </c>
      <c r="G247" s="242" t="n">
        <v>23900</v>
      </c>
      <c r="H247" s="242" t="n">
        <v>23150</v>
      </c>
      <c r="I247" s="242" t="n">
        <v>827788400</v>
      </c>
      <c r="J247" s="242" t="n">
        <v>350792465400</v>
      </c>
      <c r="K247" s="242" t="n">
        <v>14991131</v>
      </c>
    </row>
    <row r="248">
      <c r="A248" s="408" t="n">
        <v>45749</v>
      </c>
      <c r="B248" s="242" t="n">
        <v>22900</v>
      </c>
      <c r="C248" s="242" t="n">
        <v>55735</v>
      </c>
      <c r="D248" s="242" t="n">
        <v>-500</v>
      </c>
      <c r="E248" s="243" t="n">
        <v>-2.14</v>
      </c>
      <c r="F248" s="242" t="n">
        <v>23900</v>
      </c>
      <c r="G248" s="242" t="n">
        <v>24100</v>
      </c>
      <c r="H248" s="242" t="n">
        <v>22900</v>
      </c>
      <c r="I248" s="242" t="n">
        <v>1297311200</v>
      </c>
      <c r="J248" s="242" t="n">
        <v>343296899900</v>
      </c>
      <c r="K248" s="242" t="n">
        <v>14991131</v>
      </c>
    </row>
    <row r="249">
      <c r="A249" s="408" t="n">
        <v>45750</v>
      </c>
      <c r="B249" s="242" t="n">
        <v>22950</v>
      </c>
      <c r="C249" s="242" t="n">
        <v>50395</v>
      </c>
      <c r="D249" s="242" t="n">
        <v>50</v>
      </c>
      <c r="E249" s="243" t="n">
        <v>0.22</v>
      </c>
      <c r="F249" s="242" t="n">
        <v>22200</v>
      </c>
      <c r="G249" s="242" t="n">
        <v>23400</v>
      </c>
      <c r="H249" s="242" t="n">
        <v>22200</v>
      </c>
      <c r="I249" s="242" t="n">
        <v>1158164175</v>
      </c>
      <c r="J249" s="242" t="n">
        <v>344046456450</v>
      </c>
      <c r="K249" s="242" t="n">
        <v>14991131</v>
      </c>
    </row>
    <row r="250">
      <c r="A250" s="408" t="n">
        <v>45751</v>
      </c>
      <c r="B250" s="242" t="n">
        <v>22850</v>
      </c>
      <c r="C250" s="242" t="n">
        <v>64896</v>
      </c>
      <c r="D250" s="242" t="n">
        <v>-100</v>
      </c>
      <c r="E250" s="243" t="n">
        <v>-0.44</v>
      </c>
      <c r="F250" s="242" t="n">
        <v>22500</v>
      </c>
      <c r="G250" s="242" t="n">
        <v>23300</v>
      </c>
      <c r="H250" s="242" t="n">
        <v>22400</v>
      </c>
      <c r="I250" s="242" t="n">
        <v>1478565850</v>
      </c>
      <c r="J250" s="242" t="n">
        <v>342547343350</v>
      </c>
      <c r="K250" s="242" t="n">
        <v>14991131</v>
      </c>
    </row>
    <row r="251">
      <c r="A251" s="408" t="n">
        <v>45754</v>
      </c>
      <c r="B251" s="242" t="n">
        <v>21100</v>
      </c>
      <c r="C251" s="242" t="n">
        <v>79378</v>
      </c>
      <c r="D251" s="242" t="n">
        <v>-1750</v>
      </c>
      <c r="E251" s="243" t="n">
        <v>-7.66</v>
      </c>
      <c r="F251" s="242" t="n">
        <v>22250</v>
      </c>
      <c r="G251" s="242" t="n">
        <v>22300</v>
      </c>
      <c r="H251" s="242" t="n">
        <v>20950</v>
      </c>
      <c r="I251" s="242" t="n">
        <v>1694043775</v>
      </c>
      <c r="J251" s="242" t="n">
        <v>316312864100</v>
      </c>
      <c r="K251" s="242" t="n">
        <v>14991131</v>
      </c>
    </row>
    <row r="252">
      <c r="A252" s="408" t="n">
        <v>45755</v>
      </c>
      <c r="B252" s="242" t="n">
        <v>20600</v>
      </c>
      <c r="C252" s="242" t="n">
        <v>71138</v>
      </c>
      <c r="D252" s="242" t="n">
        <v>-500</v>
      </c>
      <c r="E252" s="243" t="n">
        <v>-2.37</v>
      </c>
      <c r="F252" s="242" t="n">
        <v>21400</v>
      </c>
      <c r="G252" s="242" t="n">
        <v>21800</v>
      </c>
      <c r="H252" s="242" t="n">
        <v>20450</v>
      </c>
      <c r="I252" s="242" t="n">
        <v>1489420625</v>
      </c>
      <c r="J252" s="242" t="n">
        <v>308817298600</v>
      </c>
      <c r="K252" s="242" t="n">
        <v>14991131</v>
      </c>
    </row>
    <row r="253">
      <c r="A253" s="408" t="n">
        <v>45756</v>
      </c>
      <c r="B253" s="242" t="n">
        <v>19640</v>
      </c>
      <c r="C253" s="242" t="n">
        <v>131278</v>
      </c>
      <c r="D253" s="242" t="n">
        <v>-960</v>
      </c>
      <c r="E253" s="243" t="n">
        <v>-4.66</v>
      </c>
      <c r="F253" s="242" t="n">
        <v>20150</v>
      </c>
      <c r="G253" s="242" t="n">
        <v>20600</v>
      </c>
      <c r="H253" s="242" t="n">
        <v>19490</v>
      </c>
      <c r="I253" s="242" t="n">
        <v>2612173545</v>
      </c>
      <c r="J253" s="242" t="n">
        <v>294425812840</v>
      </c>
      <c r="K253" s="242" t="n">
        <v>14991131</v>
      </c>
    </row>
    <row r="254">
      <c r="A254" s="408" t="n">
        <v>45757</v>
      </c>
      <c r="B254" s="242" t="n">
        <v>21400</v>
      </c>
      <c r="C254" s="242" t="n">
        <v>72569</v>
      </c>
      <c r="D254" s="242" t="n">
        <v>1760</v>
      </c>
      <c r="E254" s="243" t="n">
        <v>8.960000000000001</v>
      </c>
      <c r="F254" s="242" t="n">
        <v>20800</v>
      </c>
      <c r="G254" s="242" t="n">
        <v>21600</v>
      </c>
      <c r="H254" s="242" t="n">
        <v>20450</v>
      </c>
      <c r="I254" s="242" t="n">
        <v>1526662400</v>
      </c>
      <c r="J254" s="242" t="n">
        <v>320810203400</v>
      </c>
      <c r="K254" s="242" t="n">
        <v>14991131</v>
      </c>
    </row>
    <row r="255">
      <c r="A255" s="408" t="n">
        <v>45758</v>
      </c>
      <c r="B255" s="242" t="n">
        <v>23450</v>
      </c>
      <c r="C255" s="242" t="n">
        <v>145800</v>
      </c>
      <c r="D255" s="242" t="n">
        <v>2050</v>
      </c>
      <c r="E255" s="243" t="n">
        <v>9.58</v>
      </c>
      <c r="F255" s="242" t="n">
        <v>20800</v>
      </c>
      <c r="G255" s="242" t="n">
        <v>23750</v>
      </c>
      <c r="H255" s="242" t="n">
        <v>20800</v>
      </c>
      <c r="I255" s="242" t="n">
        <v>3308146775</v>
      </c>
      <c r="J255" s="242" t="n">
        <v>351542021950</v>
      </c>
      <c r="K255" s="242" t="n">
        <v>14991131</v>
      </c>
    </row>
    <row r="256">
      <c r="A256" s="408" t="n">
        <v>45761</v>
      </c>
      <c r="B256" s="242" t="n">
        <v>24150</v>
      </c>
      <c r="C256" s="242" t="n">
        <v>73381</v>
      </c>
      <c r="D256" s="242" t="n">
        <v>700</v>
      </c>
      <c r="E256" s="243" t="n">
        <v>2.99</v>
      </c>
      <c r="F256" s="242" t="n">
        <v>24050</v>
      </c>
      <c r="G256" s="242" t="n">
        <v>24150</v>
      </c>
      <c r="H256" s="242" t="n">
        <v>23650</v>
      </c>
      <c r="I256" s="242" t="n">
        <v>1756026525</v>
      </c>
      <c r="J256" s="242" t="n">
        <v>362035813650</v>
      </c>
      <c r="K256" s="242" t="n">
        <v>14991131</v>
      </c>
    </row>
    <row r="257">
      <c r="A257" s="408" t="n">
        <v>45762</v>
      </c>
      <c r="B257" s="242" t="n">
        <v>24450</v>
      </c>
      <c r="C257" s="242" t="n">
        <v>76694</v>
      </c>
      <c r="D257" s="242" t="n">
        <v>300</v>
      </c>
      <c r="E257" s="243" t="n">
        <v>1.24</v>
      </c>
      <c r="F257" s="242" t="n">
        <v>24200</v>
      </c>
      <c r="G257" s="242" t="n">
        <v>25050</v>
      </c>
      <c r="H257" s="242" t="n">
        <v>23950</v>
      </c>
      <c r="I257" s="242" t="n">
        <v>1885418050</v>
      </c>
      <c r="J257" s="242" t="n">
        <v>366533152950</v>
      </c>
      <c r="K257" s="242" t="n">
        <v>14991131</v>
      </c>
    </row>
    <row r="258">
      <c r="A258" s="408" t="n">
        <v>45763</v>
      </c>
      <c r="B258" s="242" t="n">
        <v>24000</v>
      </c>
      <c r="C258" s="242" t="n">
        <v>66972</v>
      </c>
      <c r="D258" s="242" t="n">
        <v>-450</v>
      </c>
      <c r="E258" s="243" t="n">
        <v>-1.84</v>
      </c>
      <c r="F258" s="242" t="n">
        <v>24900</v>
      </c>
      <c r="G258" s="242" t="n">
        <v>25000</v>
      </c>
      <c r="H258" s="242" t="n">
        <v>23800</v>
      </c>
      <c r="I258" s="242" t="n">
        <v>1629633725</v>
      </c>
      <c r="J258" s="242" t="n">
        <v>359787144000</v>
      </c>
      <c r="K258" s="242" t="n">
        <v>14991131</v>
      </c>
    </row>
    <row r="259">
      <c r="A259" s="408" t="n">
        <v>45764</v>
      </c>
      <c r="B259" s="242" t="n">
        <v>24250</v>
      </c>
      <c r="C259" s="242" t="n">
        <v>32136</v>
      </c>
      <c r="D259" s="242" t="n">
        <v>250</v>
      </c>
      <c r="E259" s="243" t="n">
        <v>1.04</v>
      </c>
      <c r="F259" s="242" t="n">
        <v>23700</v>
      </c>
      <c r="G259" s="242" t="n">
        <v>24350</v>
      </c>
      <c r="H259" s="242" t="n">
        <v>23700</v>
      </c>
      <c r="I259" s="242" t="n">
        <v>775068175</v>
      </c>
      <c r="J259" s="242" t="n">
        <v>363534926750</v>
      </c>
      <c r="K259" s="242" t="n">
        <v>14991131</v>
      </c>
    </row>
    <row r="260">
      <c r="A260" s="408" t="n">
        <v>45765</v>
      </c>
      <c r="B260" s="242" t="n">
        <v>24350</v>
      </c>
      <c r="C260" s="242" t="n">
        <v>31098</v>
      </c>
      <c r="D260" s="242" t="n">
        <v>100</v>
      </c>
      <c r="E260" s="243" t="n">
        <v>0.41</v>
      </c>
      <c r="F260" s="242" t="n">
        <v>24500</v>
      </c>
      <c r="G260" s="242" t="n">
        <v>24600</v>
      </c>
      <c r="H260" s="242" t="n">
        <v>23750</v>
      </c>
      <c r="I260" s="242" t="n">
        <v>749198325</v>
      </c>
      <c r="J260" s="242" t="n">
        <v>365034039850</v>
      </c>
      <c r="K260" s="242" t="n">
        <v>14991131</v>
      </c>
    </row>
    <row r="261">
      <c r="A261" s="408" t="n">
        <v>45768</v>
      </c>
      <c r="B261" s="242" t="n">
        <v>24050</v>
      </c>
      <c r="C261" s="242" t="n">
        <v>32037</v>
      </c>
      <c r="D261" s="242" t="n">
        <v>-300</v>
      </c>
      <c r="E261" s="243" t="n">
        <v>-1.23</v>
      </c>
      <c r="F261" s="242" t="n">
        <v>24150</v>
      </c>
      <c r="G261" s="242" t="n">
        <v>24600</v>
      </c>
      <c r="H261" s="242" t="n">
        <v>23850</v>
      </c>
      <c r="I261" s="242" t="n">
        <v>774608250</v>
      </c>
      <c r="J261" s="242" t="n">
        <v>360536700550</v>
      </c>
      <c r="K261" s="242" t="n">
        <v>14991131</v>
      </c>
    </row>
    <row r="262">
      <c r="A262" s="408" t="n">
        <v>45769</v>
      </c>
      <c r="B262" s="242" t="n">
        <v>24200</v>
      </c>
      <c r="C262" s="242" t="n">
        <v>43222</v>
      </c>
      <c r="D262" s="242" t="n">
        <v>150</v>
      </c>
      <c r="E262" s="243" t="n">
        <v>0.62</v>
      </c>
      <c r="F262" s="242" t="n">
        <v>23600</v>
      </c>
      <c r="G262" s="242" t="n">
        <v>24500</v>
      </c>
      <c r="H262" s="242" t="n">
        <v>23600</v>
      </c>
      <c r="I262" s="242" t="n">
        <v>1043262675</v>
      </c>
      <c r="J262" s="242" t="n">
        <v>362785370200</v>
      </c>
      <c r="K262" s="242" t="n">
        <v>14991131</v>
      </c>
    </row>
    <row r="263">
      <c r="A263" s="408" t="n">
        <v>45770</v>
      </c>
      <c r="B263" s="242" t="n">
        <v>24650</v>
      </c>
      <c r="C263" s="242" t="n">
        <v>51339</v>
      </c>
      <c r="D263" s="242" t="n">
        <v>450</v>
      </c>
      <c r="E263" s="243" t="n">
        <v>1.86</v>
      </c>
      <c r="F263" s="242" t="n">
        <v>24900</v>
      </c>
      <c r="G263" s="242" t="n">
        <v>24900</v>
      </c>
      <c r="H263" s="242" t="n">
        <v>24250</v>
      </c>
      <c r="I263" s="242" t="n">
        <v>1259963600</v>
      </c>
      <c r="J263" s="242" t="n">
        <v>369531379150</v>
      </c>
      <c r="K263" s="242" t="n">
        <v>14991131</v>
      </c>
    </row>
    <row r="264">
      <c r="A264" s="408" t="n">
        <v>45771</v>
      </c>
      <c r="B264" s="242" t="n">
        <v>24800</v>
      </c>
      <c r="C264" s="242" t="n">
        <v>74969</v>
      </c>
      <c r="D264" s="242" t="n">
        <v>150</v>
      </c>
      <c r="E264" s="243" t="n">
        <v>0.61</v>
      </c>
      <c r="F264" s="242" t="n">
        <v>24800</v>
      </c>
      <c r="G264" s="242" t="n">
        <v>25000</v>
      </c>
      <c r="H264" s="242" t="n">
        <v>24550</v>
      </c>
      <c r="I264" s="242" t="n">
        <v>1857162925</v>
      </c>
      <c r="J264" s="242" t="n">
        <v>371780048800</v>
      </c>
      <c r="K264" s="242" t="n">
        <v>14991131</v>
      </c>
    </row>
    <row r="265">
      <c r="A265" s="408" t="n">
        <v>45772</v>
      </c>
      <c r="B265" s="242" t="n">
        <v>24350</v>
      </c>
      <c r="C265" s="242" t="n">
        <v>38655</v>
      </c>
      <c r="D265" s="242" t="n">
        <v>-450</v>
      </c>
      <c r="E265" s="243" t="n">
        <v>-1.81</v>
      </c>
      <c r="F265" s="242" t="n">
        <v>25000</v>
      </c>
      <c r="G265" s="242" t="n">
        <v>25000</v>
      </c>
      <c r="H265" s="242" t="n">
        <v>24350</v>
      </c>
      <c r="I265" s="242" t="n">
        <v>950979600</v>
      </c>
      <c r="J265" s="242" t="n">
        <v>365034039850</v>
      </c>
      <c r="K265" s="242" t="n">
        <v>14991131</v>
      </c>
    </row>
    <row r="266">
      <c r="A266" s="408" t="n">
        <v>45775</v>
      </c>
      <c r="B266" s="242" t="n">
        <v>23750</v>
      </c>
      <c r="C266" s="242" t="n">
        <v>39507</v>
      </c>
      <c r="D266" s="242" t="n">
        <v>-600</v>
      </c>
      <c r="E266" s="243" t="n">
        <v>-2.46</v>
      </c>
      <c r="F266" s="242" t="n">
        <v>24450</v>
      </c>
      <c r="G266" s="242" t="n">
        <v>24450</v>
      </c>
      <c r="H266" s="242" t="n">
        <v>23750</v>
      </c>
      <c r="I266" s="242" t="n">
        <v>947996700</v>
      </c>
      <c r="J266" s="242" t="n">
        <v>356039361250</v>
      </c>
      <c r="K266" s="242" t="n">
        <v>14991131</v>
      </c>
    </row>
    <row r="267">
      <c r="A267" s="408" t="n">
        <v>45776</v>
      </c>
      <c r="B267" s="242" t="n">
        <v>23950</v>
      </c>
      <c r="C267" s="242" t="n">
        <v>26114</v>
      </c>
      <c r="D267" s="242" t="n">
        <v>200</v>
      </c>
      <c r="E267" s="243" t="n">
        <v>0.84</v>
      </c>
      <c r="F267" s="242" t="n">
        <v>23800</v>
      </c>
      <c r="G267" s="242" t="n">
        <v>24000</v>
      </c>
      <c r="H267" s="242" t="n">
        <v>23700</v>
      </c>
      <c r="I267" s="242" t="n">
        <v>622411475</v>
      </c>
      <c r="J267" s="242" t="n">
        <v>359037587450</v>
      </c>
      <c r="K267" s="242" t="n">
        <v>14991131</v>
      </c>
    </row>
    <row r="268">
      <c r="A268" s="408" t="n">
        <v>45777</v>
      </c>
      <c r="B268" s="242" t="n">
        <v>23150</v>
      </c>
      <c r="C268" s="242" t="n">
        <v>35512</v>
      </c>
      <c r="D268" s="242" t="n">
        <v>-800</v>
      </c>
      <c r="E268" s="243" t="n">
        <v>-3.34</v>
      </c>
      <c r="F268" s="242" t="n">
        <v>23950</v>
      </c>
      <c r="G268" s="242" t="n">
        <v>24000</v>
      </c>
      <c r="H268" s="242" t="n">
        <v>23100</v>
      </c>
      <c r="I268" s="242" t="n">
        <v>829677475</v>
      </c>
      <c r="J268" s="242" t="n">
        <v>347044682650</v>
      </c>
      <c r="K268" s="242" t="n">
        <v>14991131</v>
      </c>
    </row>
    <row r="269">
      <c r="A269" s="408" t="n">
        <v>45779</v>
      </c>
      <c r="B269" s="242" t="n">
        <v>23150</v>
      </c>
      <c r="C269" s="242" t="n">
        <v>20189</v>
      </c>
      <c r="D269" s="242" t="n">
        <v>0</v>
      </c>
      <c r="E269" s="243" t="n">
        <v>0</v>
      </c>
      <c r="F269" s="242" t="n">
        <v>22850</v>
      </c>
      <c r="G269" s="242" t="n">
        <v>23650</v>
      </c>
      <c r="H269" s="242" t="n">
        <v>22850</v>
      </c>
      <c r="I269" s="242" t="n">
        <v>468873825</v>
      </c>
      <c r="J269" s="242" t="n">
        <v>347044682650</v>
      </c>
      <c r="K269" s="242" t="n">
        <v>14991131</v>
      </c>
    </row>
    <row r="270">
      <c r="A270" s="408" t="n">
        <v>45784</v>
      </c>
      <c r="B270" s="242" t="n">
        <v>23700</v>
      </c>
      <c r="C270" s="242" t="n">
        <v>26838</v>
      </c>
      <c r="D270" s="242" t="n">
        <v>550</v>
      </c>
      <c r="E270" s="243" t="n">
        <v>2.38</v>
      </c>
      <c r="F270" s="242" t="n">
        <v>23350</v>
      </c>
      <c r="G270" s="242" t="n">
        <v>23700</v>
      </c>
      <c r="H270" s="242" t="n">
        <v>23150</v>
      </c>
      <c r="I270" s="242" t="n">
        <v>631123275</v>
      </c>
      <c r="J270" s="242" t="n">
        <v>355289804700</v>
      </c>
      <c r="K270" s="242" t="n">
        <v>14991131</v>
      </c>
    </row>
    <row r="271">
      <c r="A271" s="408" t="n">
        <v>45785</v>
      </c>
      <c r="B271" s="242" t="n">
        <v>23900</v>
      </c>
      <c r="C271" s="242" t="n">
        <v>19545</v>
      </c>
      <c r="D271" s="242" t="n">
        <v>200</v>
      </c>
      <c r="E271" s="243" t="n">
        <v>0.84</v>
      </c>
      <c r="F271" s="242" t="n">
        <v>23950</v>
      </c>
      <c r="G271" s="242" t="n">
        <v>24100</v>
      </c>
      <c r="H271" s="242" t="n">
        <v>23750</v>
      </c>
      <c r="I271" s="242" t="n">
        <v>467119575</v>
      </c>
      <c r="J271" s="242" t="n">
        <v>358288030900</v>
      </c>
      <c r="K271" s="242" t="n">
        <v>14991131</v>
      </c>
    </row>
    <row r="272">
      <c r="A272" s="408" t="n">
        <v>45786</v>
      </c>
      <c r="B272" s="242" t="n">
        <v>23250</v>
      </c>
      <c r="C272" s="242" t="n">
        <v>34945</v>
      </c>
      <c r="D272" s="242" t="n">
        <v>-650</v>
      </c>
      <c r="E272" s="243" t="n">
        <v>-2.72</v>
      </c>
      <c r="F272" s="242" t="n">
        <v>24050</v>
      </c>
      <c r="G272" s="242" t="n">
        <v>24050</v>
      </c>
      <c r="H272" s="242" t="n">
        <v>22900</v>
      </c>
      <c r="I272" s="242" t="n">
        <v>813017025</v>
      </c>
      <c r="J272" s="242" t="n">
        <v>353007795750</v>
      </c>
      <c r="K272" s="242" t="n">
        <v>15183131</v>
      </c>
    </row>
    <row r="273">
      <c r="A273" s="408" t="n">
        <v>45789</v>
      </c>
      <c r="B273" s="242" t="n">
        <v>24200</v>
      </c>
      <c r="C273" s="242" t="n">
        <v>287130</v>
      </c>
      <c r="D273" s="242" t="n">
        <v>950</v>
      </c>
      <c r="E273" s="243" t="n">
        <v>4.09</v>
      </c>
      <c r="F273" s="242" t="n">
        <v>23350</v>
      </c>
      <c r="G273" s="242" t="n">
        <v>25750</v>
      </c>
      <c r="H273" s="242" t="n">
        <v>23300</v>
      </c>
      <c r="I273" s="242" t="n">
        <v>7080344875</v>
      </c>
      <c r="J273" s="242" t="n">
        <v>367431770200</v>
      </c>
      <c r="K273" s="242" t="n">
        <v>15183131</v>
      </c>
    </row>
    <row r="274">
      <c r="A274" s="408" t="n">
        <v>45790</v>
      </c>
      <c r="B274" s="242" t="n">
        <v>24650</v>
      </c>
      <c r="C274" s="242" t="n">
        <v>83727</v>
      </c>
      <c r="D274" s="242" t="n">
        <v>450</v>
      </c>
      <c r="E274" s="243" t="n">
        <v>1.86</v>
      </c>
      <c r="F274" s="242" t="n">
        <v>24400</v>
      </c>
      <c r="G274" s="242" t="n">
        <v>25200</v>
      </c>
      <c r="H274" s="242" t="n">
        <v>24400</v>
      </c>
      <c r="I274" s="242" t="n">
        <v>2079472250</v>
      </c>
      <c r="J274" s="242" t="n">
        <v>374264179150</v>
      </c>
      <c r="K274" s="242" t="n">
        <v>15183131</v>
      </c>
    </row>
    <row r="275">
      <c r="A275" s="408" t="n">
        <v>45791</v>
      </c>
      <c r="B275" s="242" t="n">
        <v>25900</v>
      </c>
      <c r="C275" s="242" t="n">
        <v>128090</v>
      </c>
      <c r="D275" s="242" t="n">
        <v>1250</v>
      </c>
      <c r="E275" s="243" t="n">
        <v>5.07</v>
      </c>
      <c r="F275" s="242" t="n">
        <v>25000</v>
      </c>
      <c r="G275" s="242" t="n">
        <v>25900</v>
      </c>
      <c r="H275" s="242" t="n">
        <v>24700</v>
      </c>
      <c r="I275" s="242" t="n">
        <v>3240252075</v>
      </c>
      <c r="J275" s="242" t="n">
        <v>393243092900</v>
      </c>
      <c r="K275" s="242" t="n">
        <v>15183131</v>
      </c>
    </row>
    <row r="276">
      <c r="A276" s="408" t="n">
        <v>45792</v>
      </c>
      <c r="B276" s="242" t="n">
        <v>25700</v>
      </c>
      <c r="C276" s="242" t="n">
        <v>172141</v>
      </c>
      <c r="D276" s="242" t="n">
        <v>-200</v>
      </c>
      <c r="E276" s="243" t="n">
        <v>-0.77</v>
      </c>
      <c r="F276" s="242" t="n">
        <v>26850</v>
      </c>
      <c r="G276" s="242" t="n">
        <v>27000</v>
      </c>
      <c r="H276" s="242" t="n">
        <v>25150</v>
      </c>
      <c r="I276" s="242" t="n">
        <v>4473563150</v>
      </c>
      <c r="J276" s="242" t="n">
        <v>390206466700</v>
      </c>
      <c r="K276" s="242" t="n">
        <v>15183131</v>
      </c>
    </row>
    <row r="277">
      <c r="A277" s="408" t="n">
        <v>45793</v>
      </c>
      <c r="B277" s="242" t="n">
        <v>25200</v>
      </c>
      <c r="C277" s="242" t="n">
        <v>72573</v>
      </c>
      <c r="D277" s="242" t="n">
        <v>-500</v>
      </c>
      <c r="E277" s="243" t="n">
        <v>-1.95</v>
      </c>
      <c r="F277" s="242" t="n">
        <v>26000</v>
      </c>
      <c r="G277" s="242" t="n">
        <v>26050</v>
      </c>
      <c r="H277" s="242" t="n">
        <v>25000</v>
      </c>
      <c r="I277" s="242" t="n">
        <v>1852672025</v>
      </c>
      <c r="J277" s="242" t="n">
        <v>382614901200</v>
      </c>
      <c r="K277" s="242" t="n">
        <v>15183131</v>
      </c>
    </row>
    <row r="278">
      <c r="A278" s="408" t="n">
        <v>45796</v>
      </c>
      <c r="B278" s="242" t="n">
        <v>24100</v>
      </c>
      <c r="C278" s="242" t="n">
        <v>58794</v>
      </c>
      <c r="D278" s="242" t="n">
        <v>-1100</v>
      </c>
      <c r="E278" s="243" t="n">
        <v>-4.37</v>
      </c>
      <c r="F278" s="242" t="n">
        <v>24650</v>
      </c>
      <c r="G278" s="242" t="n">
        <v>24750</v>
      </c>
      <c r="H278" s="242" t="n">
        <v>24050</v>
      </c>
      <c r="I278" s="242" t="n">
        <v>1429467575</v>
      </c>
      <c r="J278" s="242" t="n">
        <v>365913457100</v>
      </c>
      <c r="K278" s="242" t="n">
        <v>15183131</v>
      </c>
    </row>
    <row r="279">
      <c r="A279" s="408" t="n">
        <v>45797</v>
      </c>
      <c r="B279" s="242" t="n">
        <v>23850</v>
      </c>
      <c r="C279" s="242" t="n">
        <v>51022</v>
      </c>
      <c r="D279" s="242" t="n">
        <v>-250</v>
      </c>
      <c r="E279" s="243" t="n">
        <v>-1.04</v>
      </c>
      <c r="F279" s="242" t="n">
        <v>24500</v>
      </c>
      <c r="G279" s="242" t="n">
        <v>24950</v>
      </c>
      <c r="H279" s="242" t="n">
        <v>23850</v>
      </c>
      <c r="I279" s="242" t="n">
        <v>1241025750</v>
      </c>
      <c r="J279" s="242" t="n">
        <v>362117674350</v>
      </c>
      <c r="K279" s="242" t="n">
        <v>15183131</v>
      </c>
    </row>
    <row r="280">
      <c r="A280" s="408" t="n">
        <v>45798</v>
      </c>
      <c r="B280" s="242" t="n">
        <v>23900</v>
      </c>
      <c r="C280" s="242" t="n">
        <v>34955</v>
      </c>
      <c r="D280" s="242" t="n">
        <v>50</v>
      </c>
      <c r="E280" s="243" t="n">
        <v>0.21</v>
      </c>
      <c r="F280" s="242" t="n">
        <v>24000</v>
      </c>
      <c r="G280" s="242" t="n">
        <v>24200</v>
      </c>
      <c r="H280" s="242" t="n">
        <v>23800</v>
      </c>
      <c r="I280" s="242" t="n">
        <v>837839175</v>
      </c>
      <c r="J280" s="242" t="n">
        <v>362876830900</v>
      </c>
      <c r="K280" s="242" t="n">
        <v>15183131</v>
      </c>
    </row>
    <row r="281">
      <c r="A281" s="408" t="n">
        <v>45799</v>
      </c>
      <c r="B281" s="242" t="n">
        <v>23500</v>
      </c>
      <c r="C281" s="242" t="n">
        <v>26425</v>
      </c>
      <c r="D281" s="242" t="n">
        <v>-400</v>
      </c>
      <c r="E281" s="243" t="n">
        <v>-1.67</v>
      </c>
      <c r="F281" s="242" t="n">
        <v>23450</v>
      </c>
      <c r="G281" s="242" t="n">
        <v>23700</v>
      </c>
      <c r="H281" s="242" t="n">
        <v>23200</v>
      </c>
      <c r="I281" s="242" t="n">
        <v>618558900</v>
      </c>
      <c r="J281" s="242" t="n">
        <v>356803578500</v>
      </c>
      <c r="K281" s="242" t="n">
        <v>15183131</v>
      </c>
    </row>
    <row r="282">
      <c r="A282" s="408" t="n">
        <v>45800</v>
      </c>
      <c r="B282" s="242" t="n">
        <v>23050</v>
      </c>
      <c r="C282" s="242" t="n">
        <v>29904</v>
      </c>
      <c r="D282" s="242" t="n">
        <v>-450</v>
      </c>
      <c r="E282" s="243" t="n">
        <v>-1.91</v>
      </c>
      <c r="F282" s="242" t="n">
        <v>23550</v>
      </c>
      <c r="G282" s="242" t="n">
        <v>23600</v>
      </c>
      <c r="H282" s="242" t="n">
        <v>23000</v>
      </c>
      <c r="I282" s="242" t="n">
        <v>694350050</v>
      </c>
      <c r="J282" s="242" t="n">
        <v>349971169550</v>
      </c>
      <c r="K282" s="242" t="n">
        <v>15183131</v>
      </c>
    </row>
    <row r="283">
      <c r="A283" s="408" t="n">
        <v>45803</v>
      </c>
      <c r="B283" s="242" t="n">
        <v>23300</v>
      </c>
      <c r="C283" s="242" t="n">
        <v>24675</v>
      </c>
      <c r="D283" s="242" t="n">
        <v>250</v>
      </c>
      <c r="E283" s="243" t="n">
        <v>1.08</v>
      </c>
      <c r="F283" s="242" t="n">
        <v>22850</v>
      </c>
      <c r="G283" s="242" t="n">
        <v>23500</v>
      </c>
      <c r="H283" s="242" t="n">
        <v>22700</v>
      </c>
      <c r="I283" s="242" t="n">
        <v>572250125</v>
      </c>
      <c r="J283" s="242" t="n">
        <v>353766952300</v>
      </c>
      <c r="K283" s="242" t="n">
        <v>15183131</v>
      </c>
    </row>
    <row r="284">
      <c r="A284" s="408" t="n">
        <v>45804</v>
      </c>
      <c r="B284" s="242" t="n">
        <v>23150</v>
      </c>
      <c r="C284" s="242" t="n">
        <v>24644</v>
      </c>
      <c r="D284" s="242" t="n">
        <v>-150</v>
      </c>
      <c r="E284" s="243" t="n">
        <v>-0.64</v>
      </c>
      <c r="F284" s="242" t="n">
        <v>23300</v>
      </c>
      <c r="G284" s="242" t="n">
        <v>23400</v>
      </c>
      <c r="H284" s="242" t="n">
        <v>22900</v>
      </c>
      <c r="I284" s="242" t="n">
        <v>569079825</v>
      </c>
      <c r="J284" s="242" t="n">
        <v>351489482650</v>
      </c>
      <c r="K284" s="242" t="n">
        <v>15183131</v>
      </c>
    </row>
    <row r="285">
      <c r="A285" s="408" t="n">
        <v>45805</v>
      </c>
      <c r="B285" s="242" t="n">
        <v>23350</v>
      </c>
      <c r="C285" s="242" t="n">
        <v>27428</v>
      </c>
      <c r="D285" s="242" t="n">
        <v>200</v>
      </c>
      <c r="E285" s="243" t="n">
        <v>0.86</v>
      </c>
      <c r="F285" s="242" t="n">
        <v>23200</v>
      </c>
      <c r="G285" s="242" t="n">
        <v>23600</v>
      </c>
      <c r="H285" s="242" t="n">
        <v>23200</v>
      </c>
      <c r="I285" s="242" t="n">
        <v>640561550</v>
      </c>
      <c r="J285" s="242" t="n">
        <v>354526108850</v>
      </c>
      <c r="K285" s="242" t="n">
        <v>15183131</v>
      </c>
    </row>
    <row r="286">
      <c r="A286" s="408" t="n">
        <v>45806</v>
      </c>
      <c r="B286" s="242" t="n">
        <v>23350</v>
      </c>
      <c r="C286" s="242" t="n">
        <v>30447</v>
      </c>
      <c r="D286" s="242" t="n">
        <v>0</v>
      </c>
      <c r="E286" s="243" t="n">
        <v>0</v>
      </c>
      <c r="F286" s="242" t="n">
        <v>23450</v>
      </c>
      <c r="G286" s="242" t="n">
        <v>23800</v>
      </c>
      <c r="H286" s="242" t="n">
        <v>23050</v>
      </c>
      <c r="I286" s="242" t="n">
        <v>712419625</v>
      </c>
      <c r="J286" s="242" t="n">
        <v>354526108850</v>
      </c>
      <c r="K286" s="242" t="n">
        <v>15183131</v>
      </c>
    </row>
    <row r="287">
      <c r="A287" s="408" t="n">
        <v>45807</v>
      </c>
      <c r="B287" s="242" t="n">
        <v>23050</v>
      </c>
      <c r="C287" s="242" t="n">
        <v>30048</v>
      </c>
      <c r="D287" s="242" t="n">
        <v>-300</v>
      </c>
      <c r="E287" s="243" t="n">
        <v>-1.28</v>
      </c>
      <c r="F287" s="242" t="n">
        <v>23400</v>
      </c>
      <c r="G287" s="242" t="n">
        <v>23400</v>
      </c>
      <c r="H287" s="242" t="n">
        <v>22850</v>
      </c>
      <c r="I287" s="242" t="n">
        <v>691866375</v>
      </c>
      <c r="J287" s="242" t="n">
        <v>349971169550</v>
      </c>
      <c r="K287" s="242" t="n">
        <v>15183131</v>
      </c>
    </row>
    <row r="288">
      <c r="A288" s="408" t="n">
        <v>45810</v>
      </c>
      <c r="B288" s="242" t="n">
        <v>22900</v>
      </c>
      <c r="C288" s="242" t="n">
        <v>30409</v>
      </c>
      <c r="D288" s="242" t="n">
        <v>-150</v>
      </c>
      <c r="E288" s="243" t="n">
        <v>-0.65</v>
      </c>
      <c r="F288" s="242" t="n">
        <v>22950</v>
      </c>
      <c r="G288" s="242" t="n">
        <v>23000</v>
      </c>
      <c r="H288" s="242" t="n">
        <v>22700</v>
      </c>
      <c r="I288" s="242" t="n">
        <v>694229800</v>
      </c>
      <c r="J288" s="242" t="n">
        <v>347693699900</v>
      </c>
      <c r="K288" s="242" t="n">
        <v>15183131</v>
      </c>
    </row>
    <row r="289">
      <c r="A289" s="408" t="n">
        <v>45812</v>
      </c>
      <c r="B289" s="242" t="n">
        <v>23700</v>
      </c>
      <c r="C289" s="242" t="n">
        <v>48715</v>
      </c>
      <c r="D289" s="242" t="n">
        <v>800</v>
      </c>
      <c r="E289" s="243" t="n">
        <v>3.49</v>
      </c>
      <c r="F289" s="242" t="n">
        <v>23300</v>
      </c>
      <c r="G289" s="242" t="n">
        <v>23850</v>
      </c>
      <c r="H289" s="242" t="n">
        <v>23150</v>
      </c>
      <c r="I289" s="242" t="n">
        <v>1146756750</v>
      </c>
      <c r="J289" s="242" t="n">
        <v>359840204700</v>
      </c>
      <c r="K289" s="242" t="n">
        <v>15183131</v>
      </c>
    </row>
    <row r="290">
      <c r="A290" s="408" t="n">
        <v>45813</v>
      </c>
      <c r="B290" s="242" t="n">
        <v>23850</v>
      </c>
      <c r="C290" s="242" t="n">
        <v>36255</v>
      </c>
      <c r="D290" s="242" t="n">
        <v>150</v>
      </c>
      <c r="E290" s="243" t="n">
        <v>0.63</v>
      </c>
      <c r="F290" s="242" t="n">
        <v>23700</v>
      </c>
      <c r="G290" s="242" t="n">
        <v>23900</v>
      </c>
      <c r="H290" s="242" t="n">
        <v>23350</v>
      </c>
      <c r="I290" s="242" t="n">
        <v>857552325</v>
      </c>
      <c r="J290" s="242" t="n">
        <v>362117674350</v>
      </c>
      <c r="K290" s="242" t="n">
        <v>15183131</v>
      </c>
    </row>
    <row r="291">
      <c r="A291" s="408" t="n">
        <v>45817</v>
      </c>
      <c r="B291" s="242" t="n">
        <v>23850</v>
      </c>
      <c r="C291" s="242" t="n">
        <v>34447</v>
      </c>
      <c r="D291" s="242" t="n">
        <v>0</v>
      </c>
      <c r="E291" s="243" t="n">
        <v>0</v>
      </c>
      <c r="F291" s="242" t="n">
        <v>24200</v>
      </c>
      <c r="G291" s="242" t="n">
        <v>24200</v>
      </c>
      <c r="H291" s="242" t="n">
        <v>23650</v>
      </c>
      <c r="I291" s="242" t="n">
        <v>824561325</v>
      </c>
      <c r="J291" s="242" t="n">
        <v>362117674350</v>
      </c>
      <c r="K291" s="242" t="n">
        <v>15183131</v>
      </c>
    </row>
    <row r="292">
      <c r="A292" s="408" t="n">
        <v>45818</v>
      </c>
      <c r="B292" s="242" t="n">
        <v>24000</v>
      </c>
      <c r="C292" s="242" t="n">
        <v>43320</v>
      </c>
      <c r="D292" s="242" t="n">
        <v>150</v>
      </c>
      <c r="E292" s="243" t="n">
        <v>0.63</v>
      </c>
      <c r="F292" s="242" t="n">
        <v>24050</v>
      </c>
      <c r="G292" s="242" t="n">
        <v>24200</v>
      </c>
      <c r="H292" s="242" t="n">
        <v>23550</v>
      </c>
      <c r="I292" s="242" t="n">
        <v>1034992575</v>
      </c>
      <c r="J292" s="242" t="n">
        <v>364395144000</v>
      </c>
      <c r="K292" s="242" t="n">
        <v>15183131</v>
      </c>
    </row>
    <row r="293">
      <c r="A293" s="408" t="n">
        <v>45819</v>
      </c>
      <c r="B293" s="242" t="n">
        <v>24050</v>
      </c>
      <c r="C293" s="242" t="n">
        <v>46049</v>
      </c>
      <c r="D293" s="242" t="n">
        <v>50</v>
      </c>
      <c r="E293" s="243" t="n">
        <v>0.21</v>
      </c>
      <c r="F293" s="242" t="n">
        <v>24050</v>
      </c>
      <c r="G293" s="242" t="n">
        <v>24100</v>
      </c>
      <c r="H293" s="242" t="n">
        <v>23650</v>
      </c>
      <c r="I293" s="242" t="n">
        <v>1098494925</v>
      </c>
      <c r="J293" s="242" t="n">
        <v>365154300550</v>
      </c>
      <c r="K293" s="242" t="n">
        <v>15183131</v>
      </c>
    </row>
    <row r="294">
      <c r="A294" s="408" t="n">
        <v>45820</v>
      </c>
      <c r="B294" s="242" t="n">
        <v>24250</v>
      </c>
      <c r="C294" s="242" t="n">
        <v>50752</v>
      </c>
      <c r="D294" s="242" t="n">
        <v>200</v>
      </c>
      <c r="E294" s="243" t="n">
        <v>0.83</v>
      </c>
      <c r="F294" s="242" t="n">
        <v>24000</v>
      </c>
      <c r="G294" s="242" t="n">
        <v>24300</v>
      </c>
      <c r="H294" s="242" t="n">
        <v>23900</v>
      </c>
      <c r="I294" s="242" t="n">
        <v>1225395400</v>
      </c>
      <c r="J294" s="242" t="n">
        <v>368190926750</v>
      </c>
      <c r="K294" s="242" t="n">
        <v>15183131</v>
      </c>
    </row>
    <row r="295">
      <c r="A295" s="408" t="n">
        <v>45821</v>
      </c>
      <c r="B295" s="242" t="n">
        <v>23250</v>
      </c>
      <c r="C295" s="242" t="n">
        <v>94951</v>
      </c>
      <c r="D295" s="242" t="n">
        <v>-1000</v>
      </c>
      <c r="E295" s="243" t="n">
        <v>-4.12</v>
      </c>
      <c r="F295" s="242" t="n">
        <v>24400</v>
      </c>
      <c r="G295" s="242" t="n">
        <v>24400</v>
      </c>
      <c r="H295" s="242" t="n">
        <v>22950</v>
      </c>
      <c r="I295" s="242" t="n">
        <v>2207995175</v>
      </c>
      <c r="J295" s="242" t="n">
        <v>353007795750</v>
      </c>
      <c r="K295" s="242" t="n">
        <v>15183131</v>
      </c>
    </row>
    <row r="296">
      <c r="A296" s="408" t="n">
        <v>45824</v>
      </c>
      <c r="B296" s="242" t="n">
        <v>23000</v>
      </c>
      <c r="C296" s="242" t="n">
        <v>70413</v>
      </c>
      <c r="D296" s="242" t="n">
        <v>-250</v>
      </c>
      <c r="E296" s="243" t="n">
        <v>-1.08</v>
      </c>
      <c r="F296" s="242" t="n">
        <v>22700</v>
      </c>
      <c r="G296" s="242" t="n">
        <v>23000</v>
      </c>
      <c r="H296" s="242" t="n">
        <v>22500</v>
      </c>
      <c r="I296" s="242" t="n">
        <v>1600360950</v>
      </c>
      <c r="J296" s="242" t="n">
        <v>349212013000</v>
      </c>
      <c r="K296" s="242" t="n">
        <v>15183131</v>
      </c>
    </row>
    <row r="297">
      <c r="A297" s="408" t="n">
        <v>45825</v>
      </c>
      <c r="B297" s="242" t="n">
        <v>22700</v>
      </c>
      <c r="C297" s="242" t="n">
        <v>87098</v>
      </c>
      <c r="D297" s="242" t="n">
        <v>-300</v>
      </c>
      <c r="E297" s="243" t="n">
        <v>-1.3</v>
      </c>
      <c r="F297" s="242" t="n">
        <v>23200</v>
      </c>
      <c r="G297" s="242" t="n">
        <v>23500</v>
      </c>
      <c r="H297" s="242" t="n">
        <v>22550</v>
      </c>
      <c r="I297" s="242" t="n">
        <v>2003615350</v>
      </c>
      <c r="J297" s="242" t="n">
        <v>344657073700</v>
      </c>
      <c r="K297" s="242" t="n">
        <v>15183131</v>
      </c>
    </row>
    <row r="298">
      <c r="A298" s="408" t="n">
        <v>45826</v>
      </c>
      <c r="B298" s="242" t="n">
        <v>22950</v>
      </c>
      <c r="C298" s="242" t="n">
        <v>45891</v>
      </c>
      <c r="D298" s="242" t="n">
        <v>250</v>
      </c>
      <c r="E298" s="243" t="n">
        <v>1.1</v>
      </c>
      <c r="F298" s="242" t="n">
        <v>22650</v>
      </c>
      <c r="G298" s="242" t="n">
        <v>23000</v>
      </c>
      <c r="H298" s="242" t="n">
        <v>22400</v>
      </c>
      <c r="I298" s="242" t="n">
        <v>1045335275</v>
      </c>
      <c r="J298" s="242" t="n">
        <v>348452856450</v>
      </c>
      <c r="K298" s="242" t="n">
        <v>15183131</v>
      </c>
    </row>
    <row r="299">
      <c r="A299" s="408" t="n">
        <v>45827</v>
      </c>
      <c r="B299" s="242" t="n">
        <v>23500</v>
      </c>
      <c r="C299" s="242" t="n">
        <v>69022</v>
      </c>
      <c r="D299" s="242" t="n">
        <v>550</v>
      </c>
      <c r="E299" s="243" t="n">
        <v>2.4</v>
      </c>
      <c r="F299" s="242" t="n">
        <v>23200</v>
      </c>
      <c r="G299" s="242" t="n">
        <v>23600</v>
      </c>
      <c r="H299" s="242" t="n">
        <v>22950</v>
      </c>
      <c r="I299" s="242" t="n">
        <v>1611339075</v>
      </c>
      <c r="J299" s="242" t="n">
        <v>356803578500</v>
      </c>
      <c r="K299" s="242" t="n">
        <v>15183131</v>
      </c>
    </row>
    <row r="300">
      <c r="A300" s="408" t="n">
        <v>45828</v>
      </c>
      <c r="B300" s="242" t="n">
        <v>23650</v>
      </c>
      <c r="C300" s="242" t="n">
        <v>182450</v>
      </c>
      <c r="D300" s="242" t="n">
        <v>150</v>
      </c>
      <c r="E300" s="243" t="n">
        <v>0.64</v>
      </c>
      <c r="F300" s="242" t="n">
        <v>23500</v>
      </c>
      <c r="G300" s="242" t="n">
        <v>24400</v>
      </c>
      <c r="H300" s="242" t="n">
        <v>23250</v>
      </c>
      <c r="I300" s="242" t="n">
        <v>4341144300</v>
      </c>
      <c r="J300" s="242" t="n">
        <v>359081048150</v>
      </c>
      <c r="K300" s="242" t="n">
        <v>15183131</v>
      </c>
    </row>
    <row r="301">
      <c r="A301" s="408" t="n">
        <v>45831</v>
      </c>
      <c r="B301" s="242" t="n">
        <v>24800</v>
      </c>
      <c r="C301" s="242" t="n">
        <v>326771</v>
      </c>
      <c r="D301" s="242" t="n">
        <v>1150</v>
      </c>
      <c r="E301" s="243" t="n">
        <v>4.86</v>
      </c>
      <c r="F301" s="242" t="n">
        <v>23100</v>
      </c>
      <c r="G301" s="242" t="n">
        <v>25500</v>
      </c>
      <c r="H301" s="242" t="n">
        <v>22750</v>
      </c>
      <c r="I301" s="242" t="n">
        <v>7981513175</v>
      </c>
      <c r="J301" s="242" t="n">
        <v>376541648800</v>
      </c>
      <c r="K301" s="242" t="n">
        <v>15183131</v>
      </c>
    </row>
    <row r="302">
      <c r="A302" s="408" t="n">
        <v>45832</v>
      </c>
      <c r="B302" s="242" t="n">
        <v>25200</v>
      </c>
      <c r="C302" s="242" t="n">
        <v>196763</v>
      </c>
      <c r="D302" s="242" t="n">
        <v>400</v>
      </c>
      <c r="E302" s="243" t="n">
        <v>1.61</v>
      </c>
      <c r="F302" s="242" t="n">
        <v>25800</v>
      </c>
      <c r="G302" s="242" t="n">
        <v>25850</v>
      </c>
      <c r="H302" s="242" t="n">
        <v>24800</v>
      </c>
      <c r="I302" s="242" t="n">
        <v>4967391400</v>
      </c>
      <c r="J302" s="242" t="n">
        <v>382614901200</v>
      </c>
      <c r="K302" s="242" t="n">
        <v>15183131</v>
      </c>
    </row>
    <row r="303">
      <c r="A303" s="408" t="n">
        <v>45833</v>
      </c>
      <c r="B303" s="242" t="n">
        <v>24850</v>
      </c>
      <c r="C303" s="242" t="n">
        <v>85959</v>
      </c>
      <c r="D303" s="242" t="n">
        <v>-350</v>
      </c>
      <c r="E303" s="243" t="n">
        <v>-1.39</v>
      </c>
      <c r="F303" s="242" t="n">
        <v>25100</v>
      </c>
      <c r="G303" s="242" t="n">
        <v>25200</v>
      </c>
      <c r="H303" s="242" t="n">
        <v>24300</v>
      </c>
      <c r="I303" s="242" t="n">
        <v>2130649525</v>
      </c>
      <c r="J303" s="242" t="n">
        <v>377300805350</v>
      </c>
      <c r="K303" s="242" t="n">
        <v>15183131</v>
      </c>
    </row>
    <row r="304">
      <c r="A304" s="408" t="n">
        <v>45834</v>
      </c>
      <c r="B304" s="242" t="n">
        <v>24250</v>
      </c>
      <c r="C304" s="242" t="n">
        <v>83419</v>
      </c>
      <c r="D304" s="242" t="n">
        <v>-600</v>
      </c>
      <c r="E304" s="243" t="n">
        <v>-2.41</v>
      </c>
      <c r="F304" s="242" t="n">
        <v>25150</v>
      </c>
      <c r="G304" s="242" t="n">
        <v>25300</v>
      </c>
      <c r="H304" s="242" t="n">
        <v>23750</v>
      </c>
      <c r="I304" s="242" t="n">
        <v>2020818325</v>
      </c>
      <c r="J304" s="242" t="n">
        <v>368190926750</v>
      </c>
      <c r="K304" s="242" t="n">
        <v>15183131</v>
      </c>
    </row>
    <row r="305">
      <c r="A305" s="408" t="n">
        <v>45835</v>
      </c>
      <c r="B305" s="242" t="n">
        <v>24500</v>
      </c>
      <c r="C305" s="242" t="n">
        <v>92287</v>
      </c>
      <c r="D305" s="242" t="n">
        <v>250</v>
      </c>
      <c r="E305" s="243" t="n">
        <v>1.03</v>
      </c>
      <c r="F305" s="242" t="n">
        <v>24700</v>
      </c>
      <c r="G305" s="242" t="n">
        <v>24800</v>
      </c>
      <c r="H305" s="242" t="n">
        <v>24100</v>
      </c>
      <c r="I305" s="242" t="n">
        <v>2251537200</v>
      </c>
      <c r="J305" s="242" t="n">
        <v>371986709500</v>
      </c>
      <c r="K305" s="242" t="n">
        <v>15183131</v>
      </c>
    </row>
    <row r="306">
      <c r="A306" s="408" t="n">
        <v>45838</v>
      </c>
      <c r="B306" s="242" t="n">
        <v>24150</v>
      </c>
      <c r="C306" s="242" t="n">
        <v>51633</v>
      </c>
      <c r="D306" s="242" t="n">
        <v>-350</v>
      </c>
      <c r="E306" s="243" t="n">
        <v>-1.43</v>
      </c>
      <c r="F306" s="242" t="n">
        <v>24800</v>
      </c>
      <c r="G306" s="242" t="n">
        <v>24900</v>
      </c>
      <c r="H306" s="242" t="n">
        <v>24050</v>
      </c>
      <c r="I306" s="242" t="n">
        <v>1255561050</v>
      </c>
      <c r="J306" s="242" t="n">
        <v>366672613650</v>
      </c>
      <c r="K306" s="242" t="n">
        <v>15183131</v>
      </c>
    </row>
    <row r="307">
      <c r="A307" s="408" t="n">
        <v>45839</v>
      </c>
      <c r="B307" s="242" t="n">
        <v>24100</v>
      </c>
      <c r="C307" s="242" t="n">
        <v>46072</v>
      </c>
      <c r="D307" s="242" t="n">
        <v>-50</v>
      </c>
      <c r="E307" s="243" t="n">
        <v>-0.21</v>
      </c>
      <c r="F307" s="242" t="n">
        <v>24400</v>
      </c>
      <c r="G307" s="242" t="n">
        <v>24550</v>
      </c>
      <c r="H307" s="242" t="n">
        <v>24100</v>
      </c>
      <c r="I307" s="242" t="n">
        <v>1119838900</v>
      </c>
      <c r="J307" s="242" t="n">
        <v>365913457100</v>
      </c>
      <c r="K307" s="242" t="n">
        <v>15183131</v>
      </c>
    </row>
    <row r="308">
      <c r="A308" s="408" t="n">
        <v>45840</v>
      </c>
      <c r="B308" s="242" t="n">
        <v>23750</v>
      </c>
      <c r="C308" s="242" t="n">
        <v>39107</v>
      </c>
      <c r="D308" s="242" t="n">
        <v>-350</v>
      </c>
      <c r="E308" s="243" t="n">
        <v>-1.45</v>
      </c>
      <c r="F308" s="242" t="n">
        <v>23950</v>
      </c>
      <c r="G308" s="242" t="n">
        <v>24350</v>
      </c>
      <c r="H308" s="242" t="n">
        <v>23350</v>
      </c>
      <c r="I308" s="242" t="n">
        <v>925784425</v>
      </c>
      <c r="J308" s="242" t="n">
        <v>360599361250</v>
      </c>
      <c r="K308" s="242" t="n">
        <v>15183131</v>
      </c>
    </row>
    <row r="309">
      <c r="A309" s="408" t="n">
        <v>45841</v>
      </c>
      <c r="B309" s="242" t="n">
        <v>23900</v>
      </c>
      <c r="C309" s="242" t="n">
        <v>29109</v>
      </c>
      <c r="D309" s="242" t="n">
        <v>150</v>
      </c>
      <c r="E309" s="243" t="n">
        <v>0.63</v>
      </c>
      <c r="F309" s="242" t="n">
        <v>23800</v>
      </c>
      <c r="G309" s="242" t="n">
        <v>24050</v>
      </c>
      <c r="H309" s="242" t="n">
        <v>23750</v>
      </c>
      <c r="I309" s="242" t="n">
        <v>696675475</v>
      </c>
      <c r="J309" s="242" t="n">
        <v>362876830900</v>
      </c>
      <c r="K309" s="242" t="n">
        <v>15183131</v>
      </c>
    </row>
    <row r="310">
      <c r="A310" s="408" t="n">
        <v>45842</v>
      </c>
      <c r="B310" s="242" t="n">
        <v>23950</v>
      </c>
      <c r="C310" s="242" t="n">
        <v>46815</v>
      </c>
      <c r="D310" s="242" t="n">
        <v>50</v>
      </c>
      <c r="E310" s="243" t="n">
        <v>0.21</v>
      </c>
      <c r="F310" s="242" t="n">
        <v>24250</v>
      </c>
      <c r="G310" s="242" t="n">
        <v>24650</v>
      </c>
      <c r="H310" s="242" t="n">
        <v>23650</v>
      </c>
      <c r="I310" s="242" t="n">
        <v>1128806375</v>
      </c>
      <c r="J310" s="242" t="n">
        <v>363635987450</v>
      </c>
      <c r="K310" s="242" t="n">
        <v>15183131</v>
      </c>
    </row>
    <row r="311">
      <c r="A311" s="408" t="n">
        <v>45845</v>
      </c>
      <c r="B311" s="242" t="n">
        <v>23350</v>
      </c>
      <c r="C311" s="242" t="n">
        <v>55669</v>
      </c>
      <c r="D311" s="242" t="n">
        <v>-600</v>
      </c>
      <c r="E311" s="243" t="n">
        <v>-2.51</v>
      </c>
      <c r="F311" s="242" t="n">
        <v>23650</v>
      </c>
      <c r="G311" s="242" t="n">
        <v>23950</v>
      </c>
      <c r="H311" s="242" t="n">
        <v>23050</v>
      </c>
      <c r="I311" s="242" t="n">
        <v>1299889900</v>
      </c>
      <c r="J311" s="242" t="n">
        <v>354526108850</v>
      </c>
      <c r="K311" s="242" t="n">
        <v>15183131</v>
      </c>
    </row>
    <row r="312">
      <c r="A312" s="408" t="n">
        <v>45846</v>
      </c>
      <c r="B312" s="242" t="n">
        <v>23000</v>
      </c>
      <c r="C312" s="242" t="n">
        <v>46342</v>
      </c>
      <c r="D312" s="242" t="n">
        <v>-350</v>
      </c>
      <c r="E312" s="243" t="n">
        <v>-1.5</v>
      </c>
      <c r="F312" s="242" t="n">
        <v>23500</v>
      </c>
      <c r="G312" s="242" t="n">
        <v>23500</v>
      </c>
      <c r="H312" s="242" t="n">
        <v>22800</v>
      </c>
      <c r="I312" s="242" t="n">
        <v>1067874275</v>
      </c>
      <c r="J312" s="242" t="n">
        <v>349212013000</v>
      </c>
      <c r="K312" s="242" t="n">
        <v>15183131</v>
      </c>
    </row>
    <row r="313">
      <c r="A313" s="408" t="n">
        <v>45847</v>
      </c>
      <c r="B313" s="242" t="n">
        <v>23250</v>
      </c>
      <c r="C313" s="242" t="n">
        <v>52202</v>
      </c>
      <c r="D313" s="242" t="n">
        <v>250</v>
      </c>
      <c r="E313" s="243" t="n">
        <v>1.09</v>
      </c>
      <c r="F313" s="242" t="n">
        <v>23200</v>
      </c>
      <c r="G313" s="242" t="n">
        <v>23600</v>
      </c>
      <c r="H313" s="242" t="n">
        <v>23000</v>
      </c>
      <c r="I313" s="242" t="n">
        <v>1210418600</v>
      </c>
      <c r="J313" s="242" t="n">
        <v>353007795750</v>
      </c>
      <c r="K313" s="242" t="n">
        <v>15183131</v>
      </c>
    </row>
    <row r="314">
      <c r="A314" s="408" t="n">
        <v>45848</v>
      </c>
      <c r="B314" s="242" t="n">
        <v>23100</v>
      </c>
      <c r="C314" s="242" t="n">
        <v>22977</v>
      </c>
      <c r="D314" s="242" t="n">
        <v>-150</v>
      </c>
      <c r="E314" s="243" t="n">
        <v>-0.65</v>
      </c>
      <c r="F314" s="242" t="n">
        <v>23400</v>
      </c>
      <c r="G314" s="242" t="n">
        <v>23400</v>
      </c>
      <c r="H314" s="242" t="n">
        <v>23050</v>
      </c>
      <c r="I314" s="242" t="n">
        <v>532137050</v>
      </c>
      <c r="J314" s="242" t="n">
        <v>350730326100</v>
      </c>
      <c r="K314" s="242" t="n">
        <v>15183131</v>
      </c>
    </row>
    <row r="315">
      <c r="A315" s="408" t="n">
        <v>45849</v>
      </c>
      <c r="B315" s="242" t="n">
        <v>23100</v>
      </c>
      <c r="C315" s="242" t="n">
        <v>18913</v>
      </c>
      <c r="D315" s="242" t="n">
        <v>0</v>
      </c>
      <c r="E315" s="243" t="n">
        <v>0</v>
      </c>
      <c r="F315" s="242" t="n">
        <v>23250</v>
      </c>
      <c r="G315" s="242" t="n">
        <v>23350</v>
      </c>
      <c r="H315" s="242" t="n">
        <v>23050</v>
      </c>
      <c r="I315" s="242" t="n">
        <v>438128825</v>
      </c>
      <c r="J315" s="242" t="n">
        <v>350730326100</v>
      </c>
      <c r="K315" s="242" t="n">
        <v>15183131</v>
      </c>
    </row>
    <row r="316">
      <c r="A316" s="408" t="n">
        <v>45852</v>
      </c>
      <c r="B316" s="242" t="n">
        <v>22950</v>
      </c>
      <c r="C316" s="242" t="n">
        <v>29200</v>
      </c>
      <c r="D316" s="242" t="n">
        <v>-150</v>
      </c>
      <c r="E316" s="243" t="n">
        <v>-0.65</v>
      </c>
      <c r="F316" s="242" t="n">
        <v>23100</v>
      </c>
      <c r="G316" s="242" t="n">
        <v>23200</v>
      </c>
      <c r="H316" s="242" t="n">
        <v>22900</v>
      </c>
      <c r="I316" s="242" t="n">
        <v>672060725</v>
      </c>
      <c r="J316" s="242" t="n">
        <v>348452856450</v>
      </c>
      <c r="K316" s="242" t="n">
        <v>15183131</v>
      </c>
    </row>
    <row r="317">
      <c r="A317" s="408" t="n">
        <v>45853</v>
      </c>
      <c r="B317" s="242" t="n">
        <v>23600</v>
      </c>
      <c r="C317" s="242" t="n">
        <v>54269</v>
      </c>
      <c r="D317" s="242" t="n">
        <v>650</v>
      </c>
      <c r="E317" s="243" t="n">
        <v>2.83</v>
      </c>
      <c r="F317" s="242" t="n">
        <v>22900</v>
      </c>
      <c r="G317" s="242" t="n">
        <v>23750</v>
      </c>
      <c r="H317" s="242" t="n">
        <v>22750</v>
      </c>
      <c r="I317" s="242" t="n">
        <v>1259490700</v>
      </c>
      <c r="J317" s="242" t="n">
        <v>358321891600</v>
      </c>
      <c r="K317" s="242" t="n">
        <v>15183131</v>
      </c>
    </row>
    <row r="318">
      <c r="A318" s="408" t="n">
        <v>45854</v>
      </c>
      <c r="B318" s="242" t="n">
        <v>23250</v>
      </c>
      <c r="C318" s="242" t="n">
        <v>21969</v>
      </c>
      <c r="D318" s="242" t="n">
        <v>-350</v>
      </c>
      <c r="E318" s="243" t="n">
        <v>-1.48</v>
      </c>
      <c r="F318" s="242" t="n">
        <v>23400</v>
      </c>
      <c r="G318" s="242" t="n">
        <v>23400</v>
      </c>
      <c r="H318" s="242" t="n">
        <v>23000</v>
      </c>
      <c r="I318" s="242" t="n">
        <v>508447275</v>
      </c>
      <c r="J318" s="242" t="n">
        <v>353007795750</v>
      </c>
      <c r="K318" s="242" t="n">
        <v>15183131</v>
      </c>
    </row>
    <row r="319">
      <c r="A319" s="408" t="n">
        <v>45855</v>
      </c>
      <c r="B319" s="242" t="n">
        <v>24450</v>
      </c>
      <c r="C319" s="242" t="n">
        <v>204021</v>
      </c>
      <c r="D319" s="242" t="n">
        <v>1200</v>
      </c>
      <c r="E319" s="243" t="n">
        <v>5.16</v>
      </c>
      <c r="F319" s="242" t="n">
        <v>24750</v>
      </c>
      <c r="G319" s="242" t="n">
        <v>24950</v>
      </c>
      <c r="H319" s="242" t="n">
        <v>23900</v>
      </c>
      <c r="I319" s="242" t="n">
        <v>4982962750</v>
      </c>
      <c r="J319" s="242" t="n">
        <v>371227552950</v>
      </c>
      <c r="K319" s="242" t="n">
        <v>15183131</v>
      </c>
    </row>
    <row r="320">
      <c r="A320" s="408" t="n">
        <v>45856</v>
      </c>
      <c r="B320" s="242" t="n">
        <v>24300</v>
      </c>
      <c r="C320" s="242" t="n">
        <v>55002</v>
      </c>
      <c r="D320" s="242" t="n">
        <v>-150</v>
      </c>
      <c r="E320" s="243" t="n">
        <v>-0.61</v>
      </c>
      <c r="F320" s="242" t="n">
        <v>24400</v>
      </c>
      <c r="G320" s="242" t="n">
        <v>24500</v>
      </c>
      <c r="H320" s="242" t="n">
        <v>24100</v>
      </c>
      <c r="I320" s="242" t="n">
        <v>1334786375</v>
      </c>
      <c r="J320" s="242" t="n">
        <v>368950083300</v>
      </c>
      <c r="K320" s="242" t="n">
        <v>15183131</v>
      </c>
    </row>
    <row r="321">
      <c r="A321" s="408" t="n">
        <v>45859</v>
      </c>
      <c r="B321" s="242" t="n">
        <v>24250</v>
      </c>
      <c r="C321" s="242" t="n">
        <v>63546</v>
      </c>
      <c r="D321" s="242" t="n">
        <v>-50</v>
      </c>
      <c r="E321" s="243" t="n">
        <v>-0.21</v>
      </c>
      <c r="F321" s="242" t="n">
        <v>24450</v>
      </c>
      <c r="G321" s="242" t="n">
        <v>24550</v>
      </c>
      <c r="H321" s="242" t="n">
        <v>23950</v>
      </c>
      <c r="I321" s="242" t="n">
        <v>1536100000</v>
      </c>
      <c r="J321" s="242" t="n">
        <v>368190926750</v>
      </c>
      <c r="K321" s="242" t="n">
        <v>15183131</v>
      </c>
    </row>
    <row r="322">
      <c r="A322" s="408" t="n">
        <v>45860</v>
      </c>
      <c r="B322" s="242" t="n">
        <v>23550</v>
      </c>
      <c r="C322" s="242" t="n">
        <v>67804</v>
      </c>
      <c r="D322" s="242" t="n">
        <v>-700</v>
      </c>
      <c r="E322" s="243" t="n">
        <v>-2.89</v>
      </c>
      <c r="F322" s="242" t="n">
        <v>24250</v>
      </c>
      <c r="G322" s="242" t="n">
        <v>24300</v>
      </c>
      <c r="H322" s="242" t="n">
        <v>23250</v>
      </c>
      <c r="I322" s="242" t="n">
        <v>1602802575</v>
      </c>
      <c r="J322" s="242" t="n">
        <v>357562735050</v>
      </c>
      <c r="K322" s="242" t="n">
        <v>15183131</v>
      </c>
    </row>
    <row r="323">
      <c r="A323" s="408" t="n">
        <v>45861</v>
      </c>
      <c r="B323" s="242" t="n">
        <v>23350</v>
      </c>
      <c r="C323" s="242" t="n">
        <v>48621</v>
      </c>
      <c r="D323" s="242" t="n">
        <v>-200</v>
      </c>
      <c r="E323" s="243" t="n">
        <v>-0.85</v>
      </c>
      <c r="F323" s="242" t="n">
        <v>23650</v>
      </c>
      <c r="G323" s="242" t="n">
        <v>23700</v>
      </c>
      <c r="H323" s="242" t="n">
        <v>22900</v>
      </c>
      <c r="I323" s="242" t="n">
        <v>1126162800</v>
      </c>
      <c r="J323" s="242" t="n">
        <v>354526108850</v>
      </c>
      <c r="K323" s="242" t="n">
        <v>15183131</v>
      </c>
    </row>
    <row r="324">
      <c r="A324" s="408" t="n">
        <v>45862</v>
      </c>
      <c r="B324" s="242" t="n">
        <v>23300</v>
      </c>
      <c r="C324" s="242" t="n">
        <v>47936</v>
      </c>
      <c r="D324" s="242" t="n">
        <v>-50</v>
      </c>
      <c r="E324" s="243" t="n">
        <v>-0.21</v>
      </c>
      <c r="F324" s="242" t="n">
        <v>23400</v>
      </c>
      <c r="G324" s="242" t="n">
        <v>23600</v>
      </c>
      <c r="H324" s="242" t="n">
        <v>23050</v>
      </c>
      <c r="I324" s="242" t="n">
        <v>1112825300</v>
      </c>
      <c r="J324" s="242" t="n">
        <v>353766952300</v>
      </c>
      <c r="K324" s="242" t="n">
        <v>15183131</v>
      </c>
    </row>
    <row r="325">
      <c r="A325" s="408" t="n">
        <v>45863</v>
      </c>
      <c r="B325" s="242" t="n">
        <v>23150</v>
      </c>
      <c r="C325" s="242" t="n">
        <v>31238</v>
      </c>
      <c r="D325" s="242" t="n">
        <v>-150</v>
      </c>
      <c r="E325" s="243" t="n">
        <v>-0.64</v>
      </c>
      <c r="F325" s="242" t="n">
        <v>23250</v>
      </c>
      <c r="G325" s="242" t="n">
        <v>23450</v>
      </c>
      <c r="H325" s="242" t="n">
        <v>22950</v>
      </c>
      <c r="I325" s="242" t="n">
        <v>722787450</v>
      </c>
      <c r="J325" s="242" t="n">
        <v>351489482650</v>
      </c>
      <c r="K325" s="242" t="n">
        <v>15183131</v>
      </c>
    </row>
    <row r="326">
      <c r="A326" s="408" t="n">
        <v>45866</v>
      </c>
      <c r="B326" s="242" t="n">
        <v>22950</v>
      </c>
      <c r="C326" s="242" t="n">
        <v>44222</v>
      </c>
      <c r="D326" s="242" t="n">
        <v>-200</v>
      </c>
      <c r="E326" s="243" t="n">
        <v>-0.86</v>
      </c>
      <c r="F326" s="242" t="n">
        <v>23150</v>
      </c>
      <c r="G326" s="242" t="n">
        <v>23200</v>
      </c>
      <c r="H326" s="242" t="n">
        <v>22750</v>
      </c>
      <c r="I326" s="242" t="n">
        <v>1012583600</v>
      </c>
      <c r="J326" s="242" t="n">
        <v>348452856450</v>
      </c>
      <c r="K326" s="242" t="n">
        <v>15183131</v>
      </c>
    </row>
    <row r="327">
      <c r="A327" s="408" t="n">
        <v>45867</v>
      </c>
      <c r="B327" s="242" t="n">
        <v>23000</v>
      </c>
      <c r="C327" s="242" t="n">
        <v>35148</v>
      </c>
      <c r="D327" s="242" t="n">
        <v>50</v>
      </c>
      <c r="E327" s="243" t="n">
        <v>0.22</v>
      </c>
      <c r="F327" s="242" t="n">
        <v>23200</v>
      </c>
      <c r="G327" s="242" t="n">
        <v>23500</v>
      </c>
      <c r="H327" s="242" t="n">
        <v>22900</v>
      </c>
      <c r="I327" s="242" t="n">
        <v>810056100</v>
      </c>
      <c r="J327" s="242" t="n">
        <v>349212013000</v>
      </c>
      <c r="K327" s="242" t="n">
        <v>15183131</v>
      </c>
    </row>
    <row r="328">
      <c r="A328" s="408" t="n">
        <v>45868</v>
      </c>
      <c r="B328" s="242" t="n">
        <v>23050</v>
      </c>
      <c r="C328" s="242" t="n">
        <v>44452</v>
      </c>
      <c r="D328" s="242" t="n">
        <v>50</v>
      </c>
      <c r="E328" s="243" t="n">
        <v>0.22</v>
      </c>
      <c r="F328" s="242" t="n">
        <v>22850</v>
      </c>
      <c r="G328" s="242" t="n">
        <v>23200</v>
      </c>
      <c r="H328" s="242" t="n">
        <v>22800</v>
      </c>
      <c r="I328" s="242" t="n">
        <v>1022836375</v>
      </c>
      <c r="J328" s="242" t="n">
        <v>349971169550</v>
      </c>
      <c r="K328" s="242" t="n">
        <v>15183131</v>
      </c>
    </row>
    <row r="329">
      <c r="A329" s="408" t="n">
        <v>45869</v>
      </c>
      <c r="B329" s="242" t="n">
        <v>22950</v>
      </c>
      <c r="C329" s="242" t="n">
        <v>44070</v>
      </c>
      <c r="D329" s="242" t="n">
        <v>-100</v>
      </c>
      <c r="E329" s="243" t="n">
        <v>-0.43</v>
      </c>
      <c r="F329" s="242" t="n">
        <v>23400</v>
      </c>
      <c r="G329" s="242" t="n">
        <v>23400</v>
      </c>
      <c r="H329" s="242" t="n">
        <v>22650</v>
      </c>
      <c r="I329" s="242" t="n">
        <v>1008826175</v>
      </c>
      <c r="J329" s="242" t="n">
        <v>348452856450</v>
      </c>
      <c r="K329" s="242" t="n">
        <v>15183131</v>
      </c>
    </row>
    <row r="330">
      <c r="A330" s="408" t="n">
        <v>45870</v>
      </c>
      <c r="B330" s="242" t="n">
        <v>22050</v>
      </c>
      <c r="C330" s="242" t="n">
        <v>71631</v>
      </c>
      <c r="D330" s="242" t="n">
        <v>-900</v>
      </c>
      <c r="E330" s="243" t="n">
        <v>-3.92</v>
      </c>
      <c r="F330" s="242" t="n">
        <v>22650</v>
      </c>
      <c r="G330" s="242" t="n">
        <v>22750</v>
      </c>
      <c r="H330" s="242" t="n">
        <v>21800</v>
      </c>
      <c r="I330" s="242" t="n">
        <v>1581967550</v>
      </c>
      <c r="J330" s="242" t="n">
        <v>334788038550</v>
      </c>
      <c r="K330" s="242" t="n">
        <v>15183131</v>
      </c>
    </row>
    <row r="331">
      <c r="A331" s="408" t="n">
        <v>45873</v>
      </c>
      <c r="B331" s="242" t="n">
        <v>21850</v>
      </c>
      <c r="C331" s="242" t="n">
        <v>28824</v>
      </c>
      <c r="D331" s="242" t="n">
        <v>-200</v>
      </c>
      <c r="E331" s="243" t="n">
        <v>-0.91</v>
      </c>
      <c r="F331" s="242" t="n">
        <v>21500</v>
      </c>
      <c r="G331" s="242" t="n">
        <v>22150</v>
      </c>
      <c r="H331" s="242" t="n">
        <v>21500</v>
      </c>
      <c r="I331" s="242" t="n">
        <v>629774650</v>
      </c>
      <c r="J331" s="242" t="n">
        <v>331751412350</v>
      </c>
      <c r="K331" s="242" t="n">
        <v>15183131</v>
      </c>
    </row>
    <row r="332">
      <c r="A332" s="408" t="n">
        <v>45874</v>
      </c>
      <c r="B332" s="242" t="n">
        <v>22300</v>
      </c>
      <c r="C332" s="242" t="n">
        <v>24424</v>
      </c>
      <c r="D332" s="242" t="n">
        <v>450</v>
      </c>
      <c r="E332" s="243" t="n">
        <v>2.06</v>
      </c>
      <c r="F332" s="242" t="n">
        <v>21950</v>
      </c>
      <c r="G332" s="242" t="n">
        <v>22400</v>
      </c>
      <c r="H332" s="242" t="n">
        <v>21950</v>
      </c>
      <c r="I332" s="242" t="n">
        <v>542364550</v>
      </c>
      <c r="J332" s="242" t="n">
        <v>338583821300</v>
      </c>
      <c r="K332" s="242" t="n">
        <v>15183131</v>
      </c>
    </row>
    <row r="333">
      <c r="A333" s="408" t="n">
        <v>45875</v>
      </c>
      <c r="B333" s="242" t="n">
        <v>22450</v>
      </c>
      <c r="C333" s="242" t="n">
        <v>21464</v>
      </c>
      <c r="D333" s="242" t="n">
        <v>150</v>
      </c>
      <c r="E333" s="243" t="n">
        <v>0.67</v>
      </c>
      <c r="F333" s="242" t="n">
        <v>22200</v>
      </c>
      <c r="G333" s="242" t="n">
        <v>22500</v>
      </c>
      <c r="H333" s="242" t="n">
        <v>22000</v>
      </c>
      <c r="I333" s="242" t="n">
        <v>479197775</v>
      </c>
      <c r="J333" s="242" t="n">
        <v>340861290950</v>
      </c>
      <c r="K333" s="242" t="n">
        <v>15183131</v>
      </c>
    </row>
    <row r="334">
      <c r="A334" s="408" t="n">
        <v>45876</v>
      </c>
      <c r="B334" s="242" t="n">
        <v>22600</v>
      </c>
      <c r="C334" s="242" t="n">
        <v>17636</v>
      </c>
      <c r="D334" s="242" t="n">
        <v>150</v>
      </c>
      <c r="E334" s="243" t="n">
        <v>0.67</v>
      </c>
      <c r="F334" s="242" t="n">
        <v>22500</v>
      </c>
      <c r="G334" s="242" t="n">
        <v>22600</v>
      </c>
      <c r="H334" s="242" t="n">
        <v>22250</v>
      </c>
      <c r="I334" s="242" t="n">
        <v>396829875</v>
      </c>
      <c r="J334" s="242" t="n">
        <v>343138760600</v>
      </c>
      <c r="K334" s="242" t="n">
        <v>15183131</v>
      </c>
    </row>
    <row r="335">
      <c r="A335" s="408" t="n">
        <v>45877</v>
      </c>
      <c r="B335" s="242" t="n">
        <v>22550</v>
      </c>
      <c r="C335" s="242" t="n">
        <v>22883</v>
      </c>
      <c r="D335" s="242" t="n">
        <v>-50</v>
      </c>
      <c r="E335" s="243" t="n">
        <v>-0.22</v>
      </c>
      <c r="F335" s="242" t="n">
        <v>22350</v>
      </c>
      <c r="G335" s="242" t="n">
        <v>22700</v>
      </c>
      <c r="H335" s="242" t="n">
        <v>22250</v>
      </c>
      <c r="I335" s="242" t="n">
        <v>514043900</v>
      </c>
      <c r="J335" s="242" t="n">
        <v>342379604050</v>
      </c>
      <c r="K335" s="242" t="n">
        <v>15183131</v>
      </c>
    </row>
    <row r="336">
      <c r="A336" s="408" t="n">
        <v>45880</v>
      </c>
      <c r="B336" s="242" t="n">
        <v>22650</v>
      </c>
      <c r="C336" s="242" t="n">
        <v>19395</v>
      </c>
      <c r="D336" s="242" t="n">
        <v>100</v>
      </c>
      <c r="E336" s="243" t="n">
        <v>0.44</v>
      </c>
      <c r="F336" s="242" t="n">
        <v>22800</v>
      </c>
      <c r="G336" s="242" t="n">
        <v>22800</v>
      </c>
      <c r="H336" s="242" t="n">
        <v>22500</v>
      </c>
      <c r="I336" s="242" t="n">
        <v>438686100</v>
      </c>
      <c r="J336" s="242" t="n">
        <v>343897917150</v>
      </c>
      <c r="K336" s="242" t="n">
        <v>15183131</v>
      </c>
    </row>
    <row r="337">
      <c r="A337" s="408" t="n">
        <v>45881</v>
      </c>
      <c r="B337" s="242" t="n">
        <v>22750</v>
      </c>
      <c r="C337" s="242" t="n">
        <v>32321</v>
      </c>
      <c r="D337" s="242" t="n">
        <v>100</v>
      </c>
      <c r="E337" s="243" t="n">
        <v>0.44</v>
      </c>
      <c r="F337" s="242" t="n">
        <v>22500</v>
      </c>
      <c r="G337" s="242" t="n">
        <v>23200</v>
      </c>
      <c r="H337" s="242" t="n">
        <v>22500</v>
      </c>
      <c r="I337" s="242" t="n">
        <v>738584350</v>
      </c>
      <c r="J337" s="242" t="n">
        <v>345416230250</v>
      </c>
      <c r="K337" s="242" t="n">
        <v>15183131</v>
      </c>
    </row>
    <row r="338">
      <c r="A338" s="408" t="n">
        <v>45882</v>
      </c>
      <c r="B338" s="242" t="n">
        <v>22650</v>
      </c>
      <c r="C338" s="242" t="n">
        <v>20009</v>
      </c>
      <c r="D338" s="242" t="n">
        <v>-100</v>
      </c>
      <c r="E338" s="243" t="n">
        <v>-0.44</v>
      </c>
      <c r="F338" s="242" t="n">
        <v>22750</v>
      </c>
      <c r="G338" s="242" t="n">
        <v>22850</v>
      </c>
      <c r="H338" s="242" t="n">
        <v>22350</v>
      </c>
      <c r="I338" s="242" t="n">
        <v>451729350</v>
      </c>
      <c r="J338" s="242" t="n">
        <v>343897917150</v>
      </c>
      <c r="K338" s="242" t="n">
        <v>15183131</v>
      </c>
    </row>
    <row r="339">
      <c r="A339" s="408" t="n">
        <v>45883</v>
      </c>
      <c r="B339" s="242" t="n">
        <v>22450</v>
      </c>
      <c r="C339" s="242" t="n">
        <v>22497</v>
      </c>
      <c r="D339" s="242" t="n">
        <v>-200</v>
      </c>
      <c r="E339" s="243" t="n">
        <v>-0.88</v>
      </c>
      <c r="F339" s="242" t="n">
        <v>22600</v>
      </c>
      <c r="G339" s="242" t="n">
        <v>22850</v>
      </c>
      <c r="H339" s="242" t="n">
        <v>22350</v>
      </c>
      <c r="I339" s="242" t="n">
        <v>505771275</v>
      </c>
      <c r="J339" s="242" t="n">
        <v>340861290950</v>
      </c>
      <c r="K339" s="242" t="n">
        <v>15183131</v>
      </c>
    </row>
    <row r="340">
      <c r="A340" s="408" t="n">
        <v>45887</v>
      </c>
      <c r="B340" s="242" t="n">
        <v>22000</v>
      </c>
      <c r="C340" s="242" t="n">
        <v>25194</v>
      </c>
      <c r="D340" s="242" t="n">
        <v>-450</v>
      </c>
      <c r="E340" s="243" t="n">
        <v>-2</v>
      </c>
      <c r="F340" s="242" t="n">
        <v>22550</v>
      </c>
      <c r="G340" s="242" t="n">
        <v>22550</v>
      </c>
      <c r="H340" s="242" t="n">
        <v>21950</v>
      </c>
      <c r="I340" s="242" t="n">
        <v>555964900</v>
      </c>
      <c r="J340" s="242" t="n">
        <v>334028882000</v>
      </c>
      <c r="K340" s="242" t="n">
        <v>15183131</v>
      </c>
    </row>
    <row r="341">
      <c r="A341" s="408" t="n">
        <v>45888</v>
      </c>
      <c r="B341" s="242" t="n">
        <v>21700</v>
      </c>
      <c r="C341" s="242" t="n">
        <v>30819</v>
      </c>
      <c r="D341" s="242" t="n">
        <v>-300</v>
      </c>
      <c r="E341" s="243" t="n">
        <v>-1.36</v>
      </c>
      <c r="F341" s="242" t="n">
        <v>21850</v>
      </c>
      <c r="G341" s="242" t="n">
        <v>22000</v>
      </c>
      <c r="H341" s="242" t="n">
        <v>21500</v>
      </c>
      <c r="I341" s="242" t="n">
        <v>667390325</v>
      </c>
      <c r="J341" s="242" t="n">
        <v>329473942700</v>
      </c>
      <c r="K341" s="242" t="n">
        <v>15183131</v>
      </c>
    </row>
    <row r="342">
      <c r="A342" s="408" t="n">
        <v>45889</v>
      </c>
      <c r="B342" s="242" t="n">
        <v>21050</v>
      </c>
      <c r="C342" s="242" t="n">
        <v>26602</v>
      </c>
      <c r="D342" s="242" t="n">
        <v>-650</v>
      </c>
      <c r="E342" s="243" t="n">
        <v>-3</v>
      </c>
      <c r="F342" s="242" t="n">
        <v>21200</v>
      </c>
      <c r="G342" s="242" t="n">
        <v>21400</v>
      </c>
      <c r="H342" s="242" t="n">
        <v>20850</v>
      </c>
      <c r="I342" s="242" t="n">
        <v>558320325</v>
      </c>
      <c r="J342" s="242" t="n">
        <v>319604907550</v>
      </c>
      <c r="K342" s="242" t="n">
        <v>15183131</v>
      </c>
    </row>
    <row r="343">
      <c r="A343" s="408" t="n">
        <v>45890</v>
      </c>
      <c r="B343" s="242" t="n">
        <v>20800</v>
      </c>
      <c r="C343" s="242" t="n">
        <v>20970</v>
      </c>
      <c r="D343" s="242" t="n">
        <v>-250</v>
      </c>
      <c r="E343" s="243" t="n">
        <v>-1.19</v>
      </c>
      <c r="F343" s="242" t="n">
        <v>21000</v>
      </c>
      <c r="G343" s="242" t="n">
        <v>21300</v>
      </c>
      <c r="H343" s="242" t="n">
        <v>20800</v>
      </c>
      <c r="I343" s="242" t="n">
        <v>439860975</v>
      </c>
      <c r="J343" s="242" t="n">
        <v>315809124800</v>
      </c>
      <c r="K343" s="242" t="n">
        <v>15183131</v>
      </c>
    </row>
    <row r="344">
      <c r="A344" s="408" t="n">
        <v>45891</v>
      </c>
      <c r="B344" s="242" t="n">
        <v>20950</v>
      </c>
      <c r="C344" s="242" t="n">
        <v>22011</v>
      </c>
      <c r="D344" s="242" t="n">
        <v>150</v>
      </c>
      <c r="E344" s="243" t="n">
        <v>0.72</v>
      </c>
      <c r="F344" s="242" t="n">
        <v>20750</v>
      </c>
      <c r="G344" s="242" t="n">
        <v>21275</v>
      </c>
      <c r="H344" s="242" t="n">
        <v>20750</v>
      </c>
      <c r="I344" s="242" t="n">
        <v>463095225</v>
      </c>
      <c r="J344" s="242" t="n">
        <v>318086594450</v>
      </c>
      <c r="K344" s="242" t="n">
        <v>15183131</v>
      </c>
    </row>
    <row r="345">
      <c r="A345" s="408" t="n">
        <v>45894</v>
      </c>
      <c r="B345" s="242" t="n">
        <v>22150</v>
      </c>
      <c r="C345" s="242" t="n">
        <v>70325</v>
      </c>
      <c r="D345" s="242" t="n">
        <v>1200</v>
      </c>
      <c r="E345" s="243" t="n">
        <v>5.73</v>
      </c>
      <c r="F345" s="242" t="n">
        <v>21250</v>
      </c>
      <c r="G345" s="242" t="n">
        <v>22450</v>
      </c>
      <c r="H345" s="242" t="n">
        <v>21200</v>
      </c>
      <c r="I345" s="242" t="n">
        <v>1546433175</v>
      </c>
      <c r="J345" s="242" t="n">
        <v>336306351650</v>
      </c>
      <c r="K345" s="242" t="n">
        <v>15183131</v>
      </c>
    </row>
    <row r="346">
      <c r="A346" s="408" t="n">
        <v>45895</v>
      </c>
      <c r="B346" s="242" t="n">
        <v>22100</v>
      </c>
      <c r="C346" s="242" t="n">
        <v>60443</v>
      </c>
      <c r="D346" s="242" t="n">
        <v>-50</v>
      </c>
      <c r="E346" s="243" t="n">
        <v>-0.23</v>
      </c>
      <c r="F346" s="242" t="n">
        <v>22000</v>
      </c>
      <c r="G346" s="242" t="n">
        <v>22400</v>
      </c>
      <c r="H346" s="242" t="n">
        <v>21850</v>
      </c>
      <c r="I346" s="242" t="n">
        <v>1340331775</v>
      </c>
      <c r="J346" s="242" t="n">
        <v>335547195100</v>
      </c>
      <c r="K346" s="242" t="n">
        <v>15183131</v>
      </c>
    </row>
    <row r="347">
      <c r="A347" s="408" t="n">
        <v>45896</v>
      </c>
      <c r="B347" s="242" t="n">
        <v>22150</v>
      </c>
      <c r="C347" s="242" t="n">
        <v>33355</v>
      </c>
      <c r="D347" s="242" t="n">
        <v>50</v>
      </c>
      <c r="E347" s="243" t="n">
        <v>0.23</v>
      </c>
      <c r="F347" s="242" t="n">
        <v>22550</v>
      </c>
      <c r="G347" s="242" t="n">
        <v>22550</v>
      </c>
      <c r="H347" s="242" t="n">
        <v>21700</v>
      </c>
      <c r="I347" s="242" t="n">
        <v>734508875</v>
      </c>
      <c r="J347" s="242" t="n">
        <v>336306351650</v>
      </c>
      <c r="K347" s="242" t="n">
        <v>15183131</v>
      </c>
    </row>
    <row r="348">
      <c r="A348" s="408" t="n">
        <v>45897</v>
      </c>
      <c r="B348" s="242" t="n">
        <v>21950</v>
      </c>
      <c r="C348" s="242" t="n">
        <v>37513</v>
      </c>
      <c r="D348" s="242" t="n">
        <v>-200</v>
      </c>
      <c r="E348" s="243" t="n">
        <v>-0.9</v>
      </c>
      <c r="F348" s="242" t="n">
        <v>22400</v>
      </c>
      <c r="G348" s="242" t="n">
        <v>22550</v>
      </c>
      <c r="H348" s="242" t="n">
        <v>21700</v>
      </c>
      <c r="I348" s="242" t="n">
        <v>824792250</v>
      </c>
      <c r="J348" s="242" t="n">
        <v>333269725450</v>
      </c>
      <c r="K348" s="242" t="n">
        <v>15183131</v>
      </c>
    </row>
    <row r="349">
      <c r="A349" s="408" t="n">
        <v>45898</v>
      </c>
      <c r="B349" s="242" t="n">
        <v>21200</v>
      </c>
      <c r="C349" s="242" t="n">
        <v>34314</v>
      </c>
      <c r="D349" s="242" t="n">
        <v>-750</v>
      </c>
      <c r="E349" s="243" t="n">
        <v>-3.42</v>
      </c>
      <c r="F349" s="242" t="n">
        <v>21800</v>
      </c>
      <c r="G349" s="242" t="n">
        <v>21950</v>
      </c>
      <c r="H349" s="242" t="n">
        <v>21150</v>
      </c>
      <c r="I349" s="242" t="n">
        <v>733794700</v>
      </c>
      <c r="J349" s="242" t="n">
        <v>321882377200</v>
      </c>
      <c r="K349" s="242" t="n">
        <v>15183131</v>
      </c>
    </row>
    <row r="350">
      <c r="A350" s="408" t="n">
        <v>45901</v>
      </c>
      <c r="B350" s="242" t="n">
        <v>20750</v>
      </c>
      <c r="C350" s="242" t="n">
        <v>28833</v>
      </c>
      <c r="D350" s="242" t="n">
        <v>-450</v>
      </c>
      <c r="E350" s="243" t="n">
        <v>-2.12</v>
      </c>
      <c r="F350" s="242" t="n">
        <v>21450</v>
      </c>
      <c r="G350" s="242" t="n">
        <v>21600</v>
      </c>
      <c r="H350" s="242" t="n">
        <v>20600</v>
      </c>
      <c r="I350" s="242" t="n">
        <v>603872775</v>
      </c>
      <c r="J350" s="242" t="n">
        <v>315049968250</v>
      </c>
      <c r="K350" s="242" t="n">
        <v>15183131</v>
      </c>
    </row>
    <row r="351">
      <c r="A351" s="408" t="n">
        <v>45902</v>
      </c>
      <c r="B351" s="242" t="n">
        <v>21800</v>
      </c>
      <c r="C351" s="242" t="n">
        <v>51799</v>
      </c>
      <c r="D351" s="242" t="n">
        <v>1050</v>
      </c>
      <c r="E351" s="243" t="n">
        <v>5.06</v>
      </c>
      <c r="F351" s="242" t="n">
        <v>21400</v>
      </c>
      <c r="G351" s="242" t="n">
        <v>21900</v>
      </c>
      <c r="H351" s="242" t="n">
        <v>21150</v>
      </c>
      <c r="I351" s="242" t="n">
        <v>1117011850</v>
      </c>
      <c r="J351" s="242" t="n">
        <v>330992255800</v>
      </c>
      <c r="K351" s="242" t="n">
        <v>15183131</v>
      </c>
    </row>
    <row r="352">
      <c r="A352" s="408" t="n">
        <v>45903</v>
      </c>
      <c r="B352" s="242" t="n">
        <v>21600</v>
      </c>
      <c r="C352" s="242" t="n">
        <v>22356</v>
      </c>
      <c r="D352" s="242" t="n">
        <v>-200</v>
      </c>
      <c r="E352" s="243" t="n">
        <v>-0.92</v>
      </c>
      <c r="F352" s="242" t="n">
        <v>22100</v>
      </c>
      <c r="G352" s="242" t="n">
        <v>22100</v>
      </c>
      <c r="H352" s="242" t="n">
        <v>21400</v>
      </c>
      <c r="I352" s="242" t="n">
        <v>484251375</v>
      </c>
      <c r="J352" s="242" t="n">
        <v>327955629600</v>
      </c>
      <c r="K352" s="242" t="n">
        <v>15183131</v>
      </c>
    </row>
    <row r="353">
      <c r="A353" s="408" t="n">
        <v>45904</v>
      </c>
      <c r="B353" s="242" t="n">
        <v>21800</v>
      </c>
      <c r="C353" s="242" t="n">
        <v>15151</v>
      </c>
      <c r="D353" s="242" t="n">
        <v>200</v>
      </c>
      <c r="E353" s="243" t="n">
        <v>0.93</v>
      </c>
      <c r="F353" s="242" t="n">
        <v>21600</v>
      </c>
      <c r="G353" s="242" t="n">
        <v>21850</v>
      </c>
      <c r="H353" s="242" t="n">
        <v>21550</v>
      </c>
      <c r="I353" s="242" t="n">
        <v>328744375</v>
      </c>
      <c r="J353" s="242" t="n">
        <v>330992255800</v>
      </c>
      <c r="K353" s="242" t="n">
        <v>15183131</v>
      </c>
    </row>
    <row r="354">
      <c r="A354" s="408" t="n">
        <v>45905</v>
      </c>
      <c r="B354" s="242" t="n">
        <v>21900</v>
      </c>
      <c r="C354" s="242" t="n">
        <v>24710</v>
      </c>
      <c r="D354" s="242" t="n">
        <v>100</v>
      </c>
      <c r="E354" s="243" t="n">
        <v>0.46</v>
      </c>
      <c r="F354" s="242" t="n">
        <v>21750</v>
      </c>
      <c r="G354" s="242" t="n">
        <v>22050</v>
      </c>
      <c r="H354" s="242" t="n">
        <v>21600</v>
      </c>
      <c r="I354" s="242" t="n">
        <v>540472425</v>
      </c>
      <c r="J354" s="242" t="n">
        <v>332510568900</v>
      </c>
      <c r="K354" s="242" t="n">
        <v>15183131</v>
      </c>
    </row>
    <row r="355">
      <c r="A355" s="408" t="n">
        <v>45908</v>
      </c>
      <c r="B355" s="242" t="n">
        <v>21750</v>
      </c>
      <c r="C355" s="242" t="n">
        <v>37653</v>
      </c>
      <c r="D355" s="242" t="n">
        <v>-150</v>
      </c>
      <c r="E355" s="243" t="n">
        <v>-0.68</v>
      </c>
      <c r="F355" s="242" t="n">
        <v>22000</v>
      </c>
      <c r="G355" s="242" t="n">
        <v>22250</v>
      </c>
      <c r="H355" s="242" t="n">
        <v>21600</v>
      </c>
      <c r="I355" s="242" t="n">
        <v>824051950</v>
      </c>
      <c r="J355" s="242" t="n">
        <v>330233099250</v>
      </c>
      <c r="K355" s="242" t="n">
        <v>15183131</v>
      </c>
    </row>
    <row r="356">
      <c r="A356" s="408" t="n">
        <v>45909</v>
      </c>
      <c r="B356" s="242" t="n">
        <v>21600</v>
      </c>
      <c r="C356" s="242" t="n">
        <v>21595</v>
      </c>
      <c r="D356" s="242" t="n">
        <v>-150</v>
      </c>
      <c r="E356" s="243" t="n">
        <v>-0.6899999999999999</v>
      </c>
      <c r="F356" s="242" t="n">
        <v>21750</v>
      </c>
      <c r="G356" s="242" t="n">
        <v>21750</v>
      </c>
      <c r="H356" s="242" t="n">
        <v>21400</v>
      </c>
      <c r="I356" s="242" t="n">
        <v>465181550</v>
      </c>
      <c r="J356" s="242" t="n">
        <v>327955629600</v>
      </c>
      <c r="K356" s="242" t="n">
        <v>15183131</v>
      </c>
    </row>
    <row r="357">
      <c r="A357" s="408" t="n">
        <v>45910</v>
      </c>
      <c r="B357" s="242" t="n">
        <v>21950</v>
      </c>
      <c r="C357" s="242" t="n">
        <v>31513</v>
      </c>
      <c r="D357" s="242" t="n">
        <v>350</v>
      </c>
      <c r="E357" s="243" t="n">
        <v>1.62</v>
      </c>
      <c r="F357" s="242" t="n">
        <v>21900</v>
      </c>
      <c r="G357" s="242" t="n">
        <v>22200</v>
      </c>
      <c r="H357" s="242" t="n">
        <v>21700</v>
      </c>
      <c r="I357" s="242" t="n">
        <v>689709975</v>
      </c>
      <c r="J357" s="242" t="n">
        <v>333269725450</v>
      </c>
      <c r="K357" s="242" t="n">
        <v>15183131</v>
      </c>
    </row>
    <row r="358">
      <c r="A358" s="408" t="n">
        <v>45911</v>
      </c>
      <c r="B358" s="242" t="n">
        <v>21900</v>
      </c>
      <c r="C358" s="242" t="n">
        <v>78736</v>
      </c>
      <c r="D358" s="242" t="n">
        <v>-50</v>
      </c>
      <c r="E358" s="243" t="n">
        <v>-0.23</v>
      </c>
      <c r="F358" s="242" t="n">
        <v>22050</v>
      </c>
      <c r="G358" s="242" t="n">
        <v>22050</v>
      </c>
      <c r="H358" s="242" t="n">
        <v>21600</v>
      </c>
      <c r="I358" s="242" t="n">
        <v>1715259975</v>
      </c>
      <c r="J358" s="242" t="n">
        <v>332510568900</v>
      </c>
      <c r="K358" s="242" t="n">
        <v>15183131</v>
      </c>
    </row>
    <row r="359">
      <c r="A359" s="408" t="n">
        <v>45912</v>
      </c>
      <c r="B359" s="242" t="n">
        <v>22200</v>
      </c>
      <c r="C359" s="242" t="n">
        <v>138612</v>
      </c>
      <c r="D359" s="242" t="n">
        <v>300</v>
      </c>
      <c r="E359" s="243" t="n">
        <v>1.37</v>
      </c>
      <c r="F359" s="242" t="n">
        <v>22300</v>
      </c>
      <c r="G359" s="242" t="n">
        <v>22350</v>
      </c>
      <c r="H359" s="242" t="n">
        <v>21900</v>
      </c>
      <c r="I359" s="242" t="n">
        <v>3066656100</v>
      </c>
      <c r="J359" s="242" t="n">
        <v>337065508200</v>
      </c>
      <c r="K359" s="242" t="n">
        <v>15183131</v>
      </c>
    </row>
    <row r="360">
      <c r="A360" s="408" t="n">
        <v>45915</v>
      </c>
      <c r="B360" s="242" t="n">
        <v>22950</v>
      </c>
      <c r="C360" s="242" t="n">
        <v>179709</v>
      </c>
      <c r="D360" s="242" t="n">
        <v>750</v>
      </c>
      <c r="E360" s="243" t="n">
        <v>3.38</v>
      </c>
      <c r="F360" s="242" t="n">
        <v>23150</v>
      </c>
      <c r="G360" s="242" t="n">
        <v>23300</v>
      </c>
      <c r="H360" s="242" t="n">
        <v>22450</v>
      </c>
      <c r="I360" s="242" t="n">
        <v>4104942600</v>
      </c>
      <c r="J360" s="242" t="n">
        <v>348452856450</v>
      </c>
      <c r="K360" s="242" t="n">
        <v>15183131</v>
      </c>
    </row>
    <row r="361">
      <c r="A361" s="408" t="n">
        <v>45916</v>
      </c>
      <c r="B361" s="242" t="n">
        <v>23750</v>
      </c>
      <c r="C361" s="242" t="n">
        <v>415374</v>
      </c>
      <c r="D361" s="242" t="n">
        <v>800</v>
      </c>
      <c r="E361" s="243" t="n">
        <v>3.49</v>
      </c>
      <c r="F361" s="242" t="n">
        <v>25300</v>
      </c>
      <c r="G361" s="242" t="n">
        <v>25300</v>
      </c>
      <c r="H361" s="242" t="n">
        <v>23500</v>
      </c>
      <c r="I361" s="242" t="n">
        <v>10086122325</v>
      </c>
      <c r="J361" s="242" t="n">
        <v>360599361250</v>
      </c>
      <c r="K361" s="242" t="n">
        <v>15183131</v>
      </c>
    </row>
    <row r="362">
      <c r="A362" s="408" t="n">
        <v>45917</v>
      </c>
      <c r="B362" s="242" t="n">
        <v>23250</v>
      </c>
      <c r="C362" s="242" t="n">
        <v>134044</v>
      </c>
      <c r="D362" s="242" t="n">
        <v>-500</v>
      </c>
      <c r="E362" s="243" t="n">
        <v>-2.11</v>
      </c>
      <c r="F362" s="242" t="n">
        <v>23550</v>
      </c>
      <c r="G362" s="242" t="n">
        <v>23850</v>
      </c>
      <c r="H362" s="242" t="n">
        <v>23000</v>
      </c>
      <c r="I362" s="242" t="n">
        <v>3129678350</v>
      </c>
      <c r="J362" s="242" t="n">
        <v>353007795750</v>
      </c>
      <c r="K362" s="242" t="n">
        <v>15183131</v>
      </c>
    </row>
    <row r="363">
      <c r="A363" s="408" t="n">
        <v>45918</v>
      </c>
      <c r="B363" s="242" t="n">
        <v>24750</v>
      </c>
      <c r="C363" s="242" t="n">
        <v>532874</v>
      </c>
      <c r="D363" s="242" t="n">
        <v>1500</v>
      </c>
      <c r="E363" s="243" t="n">
        <v>6.45</v>
      </c>
      <c r="F363" s="242" t="n">
        <v>24500</v>
      </c>
      <c r="G363" s="242" t="n">
        <v>25500</v>
      </c>
      <c r="H363" s="242" t="n">
        <v>24200</v>
      </c>
      <c r="I363" s="242" t="n">
        <v>13199042275</v>
      </c>
      <c r="J363" s="242" t="n">
        <v>375782492250</v>
      </c>
      <c r="K363" s="242" t="n">
        <v>15183131</v>
      </c>
    </row>
    <row r="364">
      <c r="A364" s="408" t="n">
        <v>45919</v>
      </c>
      <c r="B364" s="242" t="n">
        <v>25450</v>
      </c>
      <c r="C364" s="242" t="n">
        <v>1100065</v>
      </c>
      <c r="D364" s="242" t="n">
        <v>700</v>
      </c>
      <c r="E364" s="243" t="n">
        <v>2.83</v>
      </c>
      <c r="F364" s="242" t="n">
        <v>25600</v>
      </c>
      <c r="G364" s="242" t="n">
        <v>27150</v>
      </c>
      <c r="H364" s="242" t="n">
        <v>24550</v>
      </c>
      <c r="I364" s="242" t="n">
        <v>28591436175</v>
      </c>
      <c r="J364" s="242" t="n">
        <v>386410683950</v>
      </c>
      <c r="K364" s="242" t="n">
        <v>15183131</v>
      </c>
    </row>
    <row r="365">
      <c r="A365" s="408" t="n">
        <v>45922</v>
      </c>
      <c r="B365" s="242" t="n">
        <v>26700</v>
      </c>
      <c r="C365" s="242" t="n">
        <v>560257</v>
      </c>
      <c r="D365" s="242" t="n">
        <v>1250</v>
      </c>
      <c r="E365" s="243" t="n">
        <v>4.91</v>
      </c>
      <c r="F365" s="242" t="n">
        <v>27150</v>
      </c>
      <c r="G365" s="242" t="n">
        <v>27950</v>
      </c>
      <c r="H365" s="242" t="n">
        <v>26500</v>
      </c>
      <c r="I365" s="242" t="n">
        <v>15196602475</v>
      </c>
      <c r="J365" s="242" t="n">
        <v>405389597700</v>
      </c>
      <c r="K365" s="242" t="n">
        <v>15183131</v>
      </c>
    </row>
    <row r="366">
      <c r="A366" s="408" t="n">
        <v>45923</v>
      </c>
      <c r="B366" s="242" t="n">
        <v>25800</v>
      </c>
      <c r="C366" s="242" t="n">
        <v>268837</v>
      </c>
      <c r="D366" s="242" t="n">
        <v>-900</v>
      </c>
      <c r="E366" s="243" t="n">
        <v>-3.37</v>
      </c>
      <c r="F366" s="242" t="n">
        <v>26700</v>
      </c>
      <c r="G366" s="242" t="n">
        <v>26850</v>
      </c>
      <c r="H366" s="242" t="n">
        <v>25600</v>
      </c>
      <c r="I366" s="242" t="n">
        <v>6968266800</v>
      </c>
      <c r="J366" s="242" t="n">
        <v>391724779800</v>
      </c>
      <c r="K366" s="242" t="n">
        <v>15183131</v>
      </c>
    </row>
    <row r="367">
      <c r="A367" s="408" t="n">
        <v>45924</v>
      </c>
      <c r="B367" s="242" t="n">
        <v>24600</v>
      </c>
      <c r="C367" s="242" t="n">
        <v>219091</v>
      </c>
      <c r="D367" s="242" t="n">
        <v>-1200</v>
      </c>
      <c r="E367" s="243" t="n">
        <v>-4.65</v>
      </c>
      <c r="F367" s="242" t="n">
        <v>25000</v>
      </c>
      <c r="G367" s="242" t="n">
        <v>25550</v>
      </c>
      <c r="H367" s="242" t="n">
        <v>24100</v>
      </c>
      <c r="I367" s="242" t="n">
        <v>5419929650</v>
      </c>
      <c r="J367" s="242" t="n">
        <v>373505022600</v>
      </c>
      <c r="K367" s="242" t="n">
        <v>15183131</v>
      </c>
    </row>
    <row r="368">
      <c r="A368" s="408" t="n">
        <v>45925</v>
      </c>
      <c r="B368" s="242" t="n">
        <v>24100</v>
      </c>
      <c r="C368" s="242" t="n">
        <v>225600</v>
      </c>
      <c r="D368" s="242" t="n">
        <v>-500</v>
      </c>
      <c r="E368" s="243" t="n">
        <v>-2.03</v>
      </c>
      <c r="F368" s="242" t="n">
        <v>24800</v>
      </c>
      <c r="G368" s="242" t="n">
        <v>25550</v>
      </c>
      <c r="H368" s="242" t="n">
        <v>24000</v>
      </c>
      <c r="I368" s="242" t="n">
        <v>5610383750</v>
      </c>
      <c r="J368" s="242" t="n">
        <v>365913457100</v>
      </c>
      <c r="K368" s="242" t="n">
        <v>15183131</v>
      </c>
    </row>
    <row r="369">
      <c r="A369" s="408" t="n">
        <v>45926</v>
      </c>
      <c r="B369" s="242" t="n">
        <v>24200</v>
      </c>
      <c r="C369" s="242" t="n">
        <v>207058</v>
      </c>
      <c r="D369" s="242" t="n">
        <v>100</v>
      </c>
      <c r="E369" s="243" t="n">
        <v>0.41</v>
      </c>
      <c r="F369" s="242" t="n">
        <v>25100</v>
      </c>
      <c r="G369" s="242" t="n">
        <v>25350</v>
      </c>
      <c r="H369" s="242" t="n">
        <v>24050</v>
      </c>
      <c r="I369" s="242" t="n">
        <v>5125881400</v>
      </c>
      <c r="J369" s="242" t="n">
        <v>367431770200</v>
      </c>
      <c r="K369" s="242" t="n">
        <v>15183131</v>
      </c>
    </row>
    <row r="370">
      <c r="A370" s="408" t="n">
        <v>45929</v>
      </c>
      <c r="B370" s="242" t="n">
        <v>24950</v>
      </c>
      <c r="C370" s="242" t="n">
        <v>132079</v>
      </c>
      <c r="D370" s="242" t="n">
        <v>750</v>
      </c>
      <c r="E370" s="243" t="n">
        <v>3.1</v>
      </c>
      <c r="F370" s="242" t="n">
        <v>25050</v>
      </c>
      <c r="G370" s="242" t="n">
        <v>25200</v>
      </c>
      <c r="H370" s="242" t="n">
        <v>24350</v>
      </c>
      <c r="I370" s="242" t="n">
        <v>3276545825</v>
      </c>
      <c r="J370" s="242" t="n">
        <v>378819118450</v>
      </c>
      <c r="K370" s="242" t="n">
        <v>15183131</v>
      </c>
    </row>
    <row r="371">
      <c r="A371" s="408" t="n">
        <v>45930</v>
      </c>
      <c r="B371" s="242" t="n">
        <v>25000</v>
      </c>
      <c r="C371" s="242" t="n">
        <v>118766</v>
      </c>
      <c r="D371" s="242" t="n">
        <v>50</v>
      </c>
      <c r="E371" s="243" t="n">
        <v>0.2</v>
      </c>
      <c r="F371" s="242" t="n">
        <v>25600</v>
      </c>
      <c r="G371" s="242" t="n">
        <v>25650</v>
      </c>
      <c r="H371" s="242" t="n">
        <v>24500</v>
      </c>
      <c r="I371" s="242" t="n">
        <v>2968433400</v>
      </c>
      <c r="J371" s="242" t="n">
        <v>379578275000</v>
      </c>
      <c r="K371" s="242" t="n">
        <v>15183131</v>
      </c>
    </row>
    <row r="372">
      <c r="A372" s="408" t="n">
        <v>45931</v>
      </c>
      <c r="B372" s="242" t="n">
        <v>24400</v>
      </c>
      <c r="C372" s="242" t="n">
        <v>79421</v>
      </c>
      <c r="D372" s="242" t="n">
        <v>-600</v>
      </c>
      <c r="E372" s="243" t="n">
        <v>-2.4</v>
      </c>
      <c r="F372" s="242" t="n">
        <v>24800</v>
      </c>
      <c r="G372" s="242" t="n">
        <v>24900</v>
      </c>
      <c r="H372" s="242" t="n">
        <v>24200</v>
      </c>
      <c r="I372" s="242" t="n">
        <v>1941803925</v>
      </c>
      <c r="J372" s="242" t="n">
        <v>370468396400</v>
      </c>
      <c r="K372" s="242" t="n">
        <v>15183131</v>
      </c>
    </row>
    <row r="373">
      <c r="A373" s="408" t="n">
        <v>45932</v>
      </c>
      <c r="B373" s="242" t="n">
        <v>23900</v>
      </c>
      <c r="C373" s="242" t="n">
        <v>83929</v>
      </c>
      <c r="D373" s="242" t="n">
        <v>-500</v>
      </c>
      <c r="E373" s="243" t="n">
        <v>-2.05</v>
      </c>
      <c r="F373" s="242" t="n">
        <v>24400</v>
      </c>
      <c r="G373" s="242" t="n">
        <v>24400</v>
      </c>
      <c r="H373" s="242" t="n">
        <v>23500</v>
      </c>
      <c r="I373" s="242" t="n">
        <v>2002168550</v>
      </c>
      <c r="J373" s="242" t="n">
        <v>362876830900</v>
      </c>
      <c r="K373" s="242" t="n">
        <v>15183131</v>
      </c>
    </row>
    <row r="374">
      <c r="A374" s="408" t="n">
        <v>45940</v>
      </c>
      <c r="B374" s="242" t="n">
        <v>26400</v>
      </c>
      <c r="C374" s="242" t="n">
        <v>470386</v>
      </c>
      <c r="D374" s="242" t="n">
        <v>2500</v>
      </c>
      <c r="E374" s="243" t="n">
        <v>10.46</v>
      </c>
      <c r="F374" s="242" t="n">
        <v>24600</v>
      </c>
      <c r="G374" s="242" t="n">
        <v>26450</v>
      </c>
      <c r="H374" s="242" t="n">
        <v>24250</v>
      </c>
      <c r="I374" s="242" t="n">
        <v>12135847775</v>
      </c>
      <c r="J374" s="242" t="n">
        <v>400834658400</v>
      </c>
      <c r="K374" s="242" t="n">
        <v>15183131</v>
      </c>
    </row>
    <row r="375">
      <c r="A375" s="408" t="n">
        <v>45943</v>
      </c>
      <c r="B375" s="242" t="n">
        <v>26650</v>
      </c>
      <c r="C375" s="242" t="n">
        <v>278003</v>
      </c>
      <c r="D375" s="242" t="n">
        <v>250</v>
      </c>
      <c r="E375" s="243" t="n">
        <v>0.95</v>
      </c>
      <c r="F375" s="242" t="n">
        <v>25800</v>
      </c>
      <c r="G375" s="242" t="n">
        <v>26750</v>
      </c>
      <c r="H375" s="242" t="n">
        <v>25350</v>
      </c>
      <c r="I375" s="242" t="n">
        <v>7256338175</v>
      </c>
      <c r="J375" s="242" t="n">
        <v>404630441150</v>
      </c>
      <c r="K375" s="242" t="n">
        <v>15183131</v>
      </c>
    </row>
    <row r="376">
      <c r="A376" s="408" t="n">
        <v>45944</v>
      </c>
      <c r="B376" s="242" t="n">
        <v>25650</v>
      </c>
      <c r="C376" s="242" t="n">
        <v>947231</v>
      </c>
      <c r="D376" s="242" t="n">
        <v>-1000</v>
      </c>
      <c r="E376" s="243" t="n">
        <v>-3.75</v>
      </c>
      <c r="F376" s="242" t="n">
        <v>27200</v>
      </c>
      <c r="G376" s="242" t="n">
        <v>28100</v>
      </c>
      <c r="H376" s="242" t="n">
        <v>24950</v>
      </c>
      <c r="I376" s="242" t="n">
        <v>25081714300</v>
      </c>
      <c r="J376" s="242" t="n">
        <v>389447310150</v>
      </c>
      <c r="K376" s="242" t="n">
        <v>15183131</v>
      </c>
    </row>
    <row r="377">
      <c r="A377" s="408" t="n">
        <v>45945</v>
      </c>
      <c r="B377" s="242" t="n">
        <v>30500</v>
      </c>
      <c r="C377" s="242" t="n">
        <v>3385035</v>
      </c>
      <c r="D377" s="242" t="n">
        <v>4850</v>
      </c>
      <c r="E377" s="243" t="n">
        <v>18.91</v>
      </c>
      <c r="F377" s="242" t="n">
        <v>28500</v>
      </c>
      <c r="G377" s="242" t="n">
        <v>31300</v>
      </c>
      <c r="H377" s="242" t="n">
        <v>27700</v>
      </c>
      <c r="I377" s="242" t="n">
        <v>101406068625</v>
      </c>
      <c r="J377" s="242" t="n">
        <v>463085495500</v>
      </c>
      <c r="K377" s="242" t="n">
        <v>15183131</v>
      </c>
    </row>
    <row r="378">
      <c r="A378" s="408" t="n">
        <v>45946</v>
      </c>
      <c r="B378" s="242" t="n">
        <v>32100</v>
      </c>
      <c r="C378" s="242" t="n">
        <v>2058314</v>
      </c>
      <c r="D378" s="242" t="n">
        <v>1600</v>
      </c>
      <c r="E378" s="243" t="n">
        <v>5.25</v>
      </c>
      <c r="F378" s="242" t="n">
        <v>33450</v>
      </c>
      <c r="G378" s="242" t="n">
        <v>35150</v>
      </c>
      <c r="H378" s="242" t="n">
        <v>30800</v>
      </c>
      <c r="I378" s="242" t="n">
        <v>67520288350</v>
      </c>
      <c r="J378" s="242" t="n">
        <v>487378505100</v>
      </c>
      <c r="K378" s="242" t="n">
        <v>15183131</v>
      </c>
    </row>
    <row r="379">
      <c r="A379" s="408" t="n">
        <v>45947</v>
      </c>
      <c r="B379" s="242" t="n">
        <v>30250</v>
      </c>
      <c r="C379" s="242" t="n">
        <v>639851</v>
      </c>
      <c r="D379" s="242" t="n">
        <v>-1850</v>
      </c>
      <c r="E379" s="243" t="n">
        <v>-5.76</v>
      </c>
      <c r="F379" s="242" t="n">
        <v>30500</v>
      </c>
      <c r="G379" s="242" t="n">
        <v>32450</v>
      </c>
      <c r="H379" s="242" t="n">
        <v>30050</v>
      </c>
      <c r="I379" s="242" t="n">
        <v>19740382025</v>
      </c>
      <c r="J379" s="242" t="n">
        <v>459289712750</v>
      </c>
      <c r="K379" s="242" t="n">
        <v>15183131</v>
      </c>
    </row>
    <row r="380">
      <c r="A380" s="408" t="n">
        <v>45950</v>
      </c>
      <c r="B380" s="242" t="n">
        <v>31700</v>
      </c>
      <c r="C380" s="242" t="n">
        <v>586055</v>
      </c>
      <c r="D380" s="242" t="n">
        <v>1450</v>
      </c>
      <c r="E380" s="243" t="n">
        <v>4.79</v>
      </c>
      <c r="F380" s="242" t="n">
        <v>31400</v>
      </c>
      <c r="G380" s="242" t="n">
        <v>32200</v>
      </c>
      <c r="H380" s="242" t="n">
        <v>30700</v>
      </c>
      <c r="I380" s="242" t="n">
        <v>18438158875</v>
      </c>
      <c r="J380" s="242" t="n">
        <v>481305252700</v>
      </c>
      <c r="K380" s="242" t="n">
        <v>15183131</v>
      </c>
    </row>
    <row r="381">
      <c r="A381" s="408" t="n">
        <v>45951</v>
      </c>
      <c r="B381" s="242" t="n">
        <v>31100</v>
      </c>
      <c r="C381" s="242" t="n">
        <v>594253</v>
      </c>
      <c r="D381" s="242" t="n">
        <v>-600</v>
      </c>
      <c r="E381" s="243" t="n">
        <v>-1.89</v>
      </c>
      <c r="F381" s="242" t="n">
        <v>33350</v>
      </c>
      <c r="G381" s="242" t="n">
        <v>33450</v>
      </c>
      <c r="H381" s="242" t="n">
        <v>31100</v>
      </c>
      <c r="I381" s="242" t="n">
        <v>19075433750</v>
      </c>
      <c r="J381" s="242" t="n">
        <v>472195374100</v>
      </c>
      <c r="K381" s="242" t="n">
        <v>15183131</v>
      </c>
    </row>
    <row r="382">
      <c r="A382" s="408" t="n">
        <v>45952</v>
      </c>
      <c r="B382" s="242" t="n">
        <v>31050</v>
      </c>
      <c r="C382" s="242" t="n">
        <v>279807</v>
      </c>
      <c r="D382" s="242" t="n">
        <v>-50</v>
      </c>
      <c r="E382" s="243" t="n">
        <v>-0.16</v>
      </c>
      <c r="F382" s="242" t="n">
        <v>31500</v>
      </c>
      <c r="G382" s="242" t="n">
        <v>31550</v>
      </c>
      <c r="H382" s="242" t="n">
        <v>29900</v>
      </c>
      <c r="I382" s="242" t="n">
        <v>8566940975</v>
      </c>
      <c r="J382" s="242" t="n">
        <v>471436217550</v>
      </c>
      <c r="K382" s="242" t="n">
        <v>15183131</v>
      </c>
    </row>
    <row r="383">
      <c r="A383" s="408" t="n">
        <v>45953</v>
      </c>
      <c r="B383" s="242" t="n">
        <v>29950</v>
      </c>
      <c r="C383" s="242" t="n">
        <v>193115</v>
      </c>
      <c r="D383" s="242" t="n">
        <v>-1100</v>
      </c>
      <c r="E383" s="243" t="n">
        <v>-3.54</v>
      </c>
      <c r="F383" s="242" t="n">
        <v>30250</v>
      </c>
      <c r="G383" s="242" t="n">
        <v>31100</v>
      </c>
      <c r="H383" s="242" t="n">
        <v>29700</v>
      </c>
      <c r="I383" s="242" t="n">
        <v>5839767800</v>
      </c>
      <c r="J383" s="242" t="n">
        <v>454734773450</v>
      </c>
      <c r="K383" s="242" t="n">
        <v>15183131</v>
      </c>
    </row>
    <row r="384">
      <c r="A384" s="408" t="n">
        <v>45954</v>
      </c>
      <c r="B384" s="242" t="n">
        <v>30350</v>
      </c>
      <c r="C384" s="242" t="n">
        <v>304092</v>
      </c>
      <c r="D384" s="242" t="n">
        <v>400</v>
      </c>
      <c r="E384" s="243" t="n">
        <v>1.34</v>
      </c>
      <c r="F384" s="242" t="n">
        <v>30250</v>
      </c>
      <c r="G384" s="242" t="n">
        <v>31250</v>
      </c>
      <c r="H384" s="242" t="n">
        <v>29800</v>
      </c>
      <c r="I384" s="242" t="n">
        <v>9286702275</v>
      </c>
      <c r="J384" s="242" t="n">
        <v>460808025850</v>
      </c>
      <c r="K384" s="242" t="n">
        <v>15183131</v>
      </c>
    </row>
    <row r="385">
      <c r="A385" s="408" t="n">
        <v>45957</v>
      </c>
      <c r="B385" s="242" t="n">
        <v>30300</v>
      </c>
      <c r="C385" s="242" t="n">
        <v>196839</v>
      </c>
      <c r="D385" s="242" t="n">
        <v>-50</v>
      </c>
      <c r="E385" s="243" t="n">
        <v>-0.16</v>
      </c>
      <c r="F385" s="242" t="n">
        <v>30900</v>
      </c>
      <c r="G385" s="242" t="n">
        <v>30950</v>
      </c>
      <c r="H385" s="242" t="n">
        <v>29800</v>
      </c>
      <c r="I385" s="242" t="n">
        <v>5941313575</v>
      </c>
      <c r="J385" s="242" t="n">
        <v>460048869300</v>
      </c>
      <c r="K385" s="242" t="n">
        <v>15183131</v>
      </c>
    </row>
    <row r="386">
      <c r="A386" s="408" t="n">
        <v>45958</v>
      </c>
      <c r="B386" s="242" t="n">
        <v>29900</v>
      </c>
      <c r="C386" s="242" t="n">
        <v>188569</v>
      </c>
      <c r="D386" s="242" t="n">
        <v>-400</v>
      </c>
      <c r="E386" s="243" t="n">
        <v>-1.32</v>
      </c>
      <c r="F386" s="242" t="n">
        <v>30600</v>
      </c>
      <c r="G386" s="242" t="n">
        <v>30900</v>
      </c>
      <c r="H386" s="242" t="n">
        <v>29800</v>
      </c>
      <c r="I386" s="242" t="n">
        <v>5700612850</v>
      </c>
      <c r="J386" s="242" t="n">
        <v>453975616900</v>
      </c>
      <c r="K386" s="242" t="n">
        <v>15183131</v>
      </c>
    </row>
    <row r="387">
      <c r="A387" s="408" t="n">
        <v>45959</v>
      </c>
      <c r="B387" s="242" t="n">
        <v>29450</v>
      </c>
      <c r="C387" s="242" t="n">
        <v>210760</v>
      </c>
      <c r="D387" s="242" t="n">
        <v>-450</v>
      </c>
      <c r="E387" s="243" t="n">
        <v>-1.51</v>
      </c>
      <c r="F387" s="242" t="n">
        <v>30000</v>
      </c>
      <c r="G387" s="242" t="n">
        <v>30100</v>
      </c>
      <c r="H387" s="242" t="n">
        <v>29100</v>
      </c>
      <c r="I387" s="242" t="n">
        <v>6210589550</v>
      </c>
      <c r="J387" s="242" t="n">
        <v>447143207950</v>
      </c>
      <c r="K387" s="242" t="n">
        <v>15183131</v>
      </c>
    </row>
    <row r="388">
      <c r="A388" s="408" t="n">
        <v>45960</v>
      </c>
      <c r="B388" s="242" t="n">
        <v>29400</v>
      </c>
      <c r="C388" s="242" t="n">
        <v>227732</v>
      </c>
      <c r="D388" s="242" t="n">
        <v>-50</v>
      </c>
      <c r="E388" s="243" t="n">
        <v>-0.17</v>
      </c>
      <c r="F388" s="242" t="n">
        <v>29250</v>
      </c>
      <c r="G388" s="242" t="n">
        <v>29800</v>
      </c>
      <c r="H388" s="242" t="n">
        <v>28250</v>
      </c>
      <c r="I388" s="242" t="n">
        <v>6599204050</v>
      </c>
      <c r="J388" s="242" t="n">
        <v>446384051400</v>
      </c>
      <c r="K388" s="242" t="n">
        <v>15183131</v>
      </c>
    </row>
    <row r="389">
      <c r="A389" s="408" t="n">
        <v>45961</v>
      </c>
      <c r="B389" s="242" t="n">
        <v>31050</v>
      </c>
      <c r="C389" s="242" t="n">
        <v>1082734</v>
      </c>
      <c r="D389" s="242" t="n">
        <v>1650</v>
      </c>
      <c r="E389" s="243" t="n">
        <v>5.61</v>
      </c>
      <c r="F389" s="242" t="n">
        <v>33050</v>
      </c>
      <c r="G389" s="242" t="n">
        <v>33900</v>
      </c>
      <c r="H389" s="242" t="n">
        <v>30550</v>
      </c>
      <c r="I389" s="242" t="n">
        <v>34525418350</v>
      </c>
      <c r="J389" s="242" t="n">
        <v>471436217550</v>
      </c>
      <c r="K389" s="242" t="n">
        <v>15183131</v>
      </c>
    </row>
    <row r="390">
      <c r="A390" s="408" t="n">
        <v>45964</v>
      </c>
      <c r="B390" s="242" t="n">
        <v>33650</v>
      </c>
      <c r="C390" s="242" t="n">
        <v>1164324</v>
      </c>
      <c r="D390" s="242" t="n">
        <v>2600</v>
      </c>
      <c r="E390" s="243" t="n">
        <v>8.369999999999999</v>
      </c>
      <c r="F390" s="242" t="n">
        <v>31300</v>
      </c>
      <c r="G390" s="242" t="n">
        <v>33850</v>
      </c>
      <c r="H390" s="242" t="n">
        <v>31050</v>
      </c>
      <c r="I390" s="242" t="n">
        <v>38272956350</v>
      </c>
      <c r="J390" s="242" t="n">
        <v>510912358150</v>
      </c>
      <c r="K390" s="242" t="n">
        <v>15183131</v>
      </c>
    </row>
    <row r="391">
      <c r="A391" s="408" t="n">
        <v>45965</v>
      </c>
      <c r="B391" s="242" t="n">
        <v>32800</v>
      </c>
      <c r="C391" s="242" t="n">
        <v>463244</v>
      </c>
      <c r="D391" s="242" t="n">
        <v>-850</v>
      </c>
      <c r="E391" s="243" t="n">
        <v>-2.53</v>
      </c>
      <c r="F391" s="242" t="n">
        <v>33000</v>
      </c>
      <c r="G391" s="242" t="n">
        <v>33850</v>
      </c>
      <c r="H391" s="242" t="n">
        <v>31950</v>
      </c>
      <c r="I391" s="242" t="n">
        <v>15238062275</v>
      </c>
      <c r="J391" s="242" t="n">
        <v>498006696800</v>
      </c>
      <c r="K391" s="242" t="n">
        <v>15183131</v>
      </c>
    </row>
    <row r="392">
      <c r="A392" s="408" t="n">
        <v>45966</v>
      </c>
      <c r="B392" s="242" t="n">
        <v>30100</v>
      </c>
      <c r="C392" s="242" t="n">
        <v>390860</v>
      </c>
      <c r="D392" s="242" t="n">
        <v>-2700</v>
      </c>
      <c r="E392" s="243" t="n">
        <v>-8.23</v>
      </c>
      <c r="F392" s="242" t="n">
        <v>31500</v>
      </c>
      <c r="G392" s="242" t="n">
        <v>32050</v>
      </c>
      <c r="H392" s="242" t="n">
        <v>28900</v>
      </c>
      <c r="I392" s="242" t="n">
        <v>11708318350</v>
      </c>
      <c r="J392" s="242" t="n">
        <v>457012243100</v>
      </c>
      <c r="K392" s="242" t="n">
        <v>15183131</v>
      </c>
    </row>
    <row r="393">
      <c r="A393" s="408" t="n">
        <v>45967</v>
      </c>
      <c r="B393" s="242" t="n">
        <v>28700</v>
      </c>
      <c r="C393" s="242" t="n">
        <v>238213</v>
      </c>
      <c r="D393" s="242" t="n">
        <v>-1400</v>
      </c>
      <c r="E393" s="243" t="n">
        <v>-4.65</v>
      </c>
      <c r="F393" s="242" t="n">
        <v>31000</v>
      </c>
      <c r="G393" s="242" t="n">
        <v>31100</v>
      </c>
      <c r="H393" s="242" t="n">
        <v>27950</v>
      </c>
      <c r="I393" s="242" t="n">
        <v>6974026350</v>
      </c>
      <c r="J393" s="242" t="n">
        <v>435755859700</v>
      </c>
      <c r="K393" s="242" t="n">
        <v>15183131</v>
      </c>
    </row>
    <row r="394">
      <c r="A394" s="408" t="n">
        <v>45968</v>
      </c>
      <c r="B394" s="242" t="n">
        <v>27750</v>
      </c>
      <c r="C394" s="242" t="n">
        <v>173702</v>
      </c>
      <c r="D394" s="242" t="n">
        <v>-950</v>
      </c>
      <c r="E394" s="243" t="n">
        <v>-3.31</v>
      </c>
      <c r="F394" s="242" t="n">
        <v>27350</v>
      </c>
      <c r="G394" s="242" t="n">
        <v>29200</v>
      </c>
      <c r="H394" s="242" t="n">
        <v>27050</v>
      </c>
      <c r="I394" s="242" t="n">
        <v>4845348250</v>
      </c>
      <c r="J394" s="242" t="n">
        <v>421331885250</v>
      </c>
      <c r="K394" s="242" t="n">
        <v>15183131</v>
      </c>
    </row>
    <row r="395">
      <c r="A395" s="408" t="n">
        <v>45971</v>
      </c>
      <c r="B395" s="242" t="n">
        <v>28400</v>
      </c>
      <c r="C395" s="242" t="n">
        <v>113937</v>
      </c>
      <c r="D395" s="242" t="n">
        <v>650</v>
      </c>
      <c r="E395" s="243" t="n">
        <v>2.34</v>
      </c>
      <c r="F395" s="242" t="n">
        <v>28550</v>
      </c>
      <c r="G395" s="242" t="n">
        <v>28550</v>
      </c>
      <c r="H395" s="242" t="n">
        <v>27200</v>
      </c>
      <c r="I395" s="242" t="n">
        <v>3202398250</v>
      </c>
      <c r="J395" s="242" t="n">
        <v>431200920400</v>
      </c>
      <c r="K395" s="242" t="n">
        <v>15183131</v>
      </c>
    </row>
    <row r="396">
      <c r="A396" s="408" t="n">
        <v>45972</v>
      </c>
      <c r="B396" s="242" t="n">
        <v>28350</v>
      </c>
      <c r="C396" s="242" t="n">
        <v>155000</v>
      </c>
      <c r="D396" s="242" t="n">
        <v>-50</v>
      </c>
      <c r="E396" s="243" t="n">
        <v>-0.18</v>
      </c>
      <c r="F396" s="242" t="n">
        <v>29150</v>
      </c>
      <c r="G396" s="242" t="n">
        <v>29300</v>
      </c>
      <c r="H396" s="242" t="n">
        <v>27900</v>
      </c>
      <c r="I396" s="242" t="n">
        <v>4445184500</v>
      </c>
      <c r="J396" s="242" t="n">
        <v>430441763850</v>
      </c>
      <c r="K396" s="242" t="n">
        <v>15183131</v>
      </c>
    </row>
    <row r="397">
      <c r="A397" s="408" t="n">
        <v>45973</v>
      </c>
      <c r="B397" s="242" t="n">
        <v>28950</v>
      </c>
      <c r="C397" s="242" t="n">
        <v>68219</v>
      </c>
      <c r="D397" s="242" t="n">
        <v>600</v>
      </c>
      <c r="E397" s="243" t="n">
        <v>2.12</v>
      </c>
      <c r="F397" s="242" t="n">
        <v>29100</v>
      </c>
      <c r="G397" s="242" t="n">
        <v>29250</v>
      </c>
      <c r="H397" s="242" t="n">
        <v>28400</v>
      </c>
      <c r="I397" s="242" t="n">
        <v>1965556850</v>
      </c>
      <c r="J397" s="242" t="n">
        <v>439551642450</v>
      </c>
      <c r="K397" s="242" t="n">
        <v>15183131</v>
      </c>
    </row>
    <row r="398">
      <c r="A398" s="408" t="n">
        <v>45974</v>
      </c>
      <c r="B398" s="242" t="n">
        <v>29350</v>
      </c>
      <c r="C398" s="242" t="n">
        <v>99810</v>
      </c>
      <c r="D398" s="242" t="n">
        <v>400</v>
      </c>
      <c r="E398" s="243" t="n">
        <v>1.38</v>
      </c>
      <c r="F398" s="242" t="n">
        <v>28750</v>
      </c>
      <c r="G398" s="242" t="n">
        <v>29600</v>
      </c>
      <c r="H398" s="242" t="n">
        <v>28150</v>
      </c>
      <c r="I398" s="242" t="n">
        <v>2891450475</v>
      </c>
      <c r="J398" s="242" t="n">
        <v>445624894850</v>
      </c>
      <c r="K398" s="242" t="n">
        <v>15183131</v>
      </c>
    </row>
    <row r="399">
      <c r="A399" s="408" t="n">
        <v>45975</v>
      </c>
      <c r="B399" s="242" t="n">
        <v>27550</v>
      </c>
      <c r="C399" s="242" t="n">
        <v>91691</v>
      </c>
      <c r="D399" s="242" t="n">
        <v>-1800</v>
      </c>
      <c r="E399" s="243" t="n">
        <v>-6.13</v>
      </c>
      <c r="F399" s="242" t="n">
        <v>28300</v>
      </c>
      <c r="G399" s="242" t="n">
        <v>28450</v>
      </c>
      <c r="H399" s="242" t="n">
        <v>27550</v>
      </c>
      <c r="I399" s="242" t="n">
        <v>2568073700</v>
      </c>
      <c r="J399" s="242" t="n">
        <v>418295259050</v>
      </c>
      <c r="K399" s="242" t="n">
        <v>15183131</v>
      </c>
    </row>
    <row r="400">
      <c r="A400" s="408" t="n">
        <v>45978</v>
      </c>
      <c r="B400" s="242" t="n">
        <v>27250</v>
      </c>
      <c r="C400" s="242" t="n">
        <v>66003</v>
      </c>
      <c r="D400" s="242" t="n">
        <v>-300</v>
      </c>
      <c r="E400" s="243" t="n">
        <v>-1.09</v>
      </c>
      <c r="F400" s="242" t="n">
        <v>27950</v>
      </c>
      <c r="G400" s="242" t="n">
        <v>28250</v>
      </c>
      <c r="H400" s="242" t="n">
        <v>27100</v>
      </c>
      <c r="I400" s="242" t="n">
        <v>1805213975</v>
      </c>
      <c r="J400" s="242" t="n">
        <v>413740319750</v>
      </c>
      <c r="K400" s="242" t="n">
        <v>15183131</v>
      </c>
    </row>
    <row r="401">
      <c r="A401" s="408" t="n">
        <v>45979</v>
      </c>
      <c r="B401" s="242" t="n">
        <v>25800</v>
      </c>
      <c r="C401" s="242" t="n">
        <v>108358</v>
      </c>
      <c r="D401" s="242" t="n">
        <v>-1450</v>
      </c>
      <c r="E401" s="243" t="n">
        <v>-5.32</v>
      </c>
      <c r="F401" s="242" t="n">
        <v>26850</v>
      </c>
      <c r="G401" s="242" t="n">
        <v>27200</v>
      </c>
      <c r="H401" s="242" t="n">
        <v>25650</v>
      </c>
      <c r="I401" s="242" t="n">
        <v>2837615675</v>
      </c>
      <c r="J401" s="242" t="n">
        <v>391724779800</v>
      </c>
      <c r="K401" s="242" t="n">
        <v>15183131</v>
      </c>
    </row>
    <row r="402">
      <c r="A402" s="408" t="n">
        <v>45980</v>
      </c>
      <c r="B402" s="242" t="n">
        <v>27750</v>
      </c>
      <c r="C402" s="242" t="n">
        <v>1303942</v>
      </c>
      <c r="D402" s="242" t="n">
        <v>1950</v>
      </c>
      <c r="E402" s="243" t="n">
        <v>7.56</v>
      </c>
      <c r="F402" s="242" t="n">
        <v>30000</v>
      </c>
      <c r="G402" s="242" t="n">
        <v>32000</v>
      </c>
      <c r="H402" s="242" t="n">
        <v>27300</v>
      </c>
      <c r="I402" s="242" t="n">
        <v>38802789800</v>
      </c>
      <c r="J402" s="242" t="n">
        <v>421331885250</v>
      </c>
      <c r="K402" s="242" t="n">
        <v>15183131</v>
      </c>
    </row>
    <row r="403">
      <c r="A403" s="408" t="n">
        <v>45981</v>
      </c>
      <c r="B403" s="242" t="n">
        <v>28250</v>
      </c>
      <c r="C403" s="242" t="n">
        <v>186034</v>
      </c>
      <c r="D403" s="242" t="n">
        <v>500</v>
      </c>
      <c r="E403" s="243" t="n">
        <v>1.8</v>
      </c>
      <c r="F403" s="242" t="n">
        <v>29250</v>
      </c>
      <c r="G403" s="242" t="n">
        <v>29350</v>
      </c>
      <c r="H403" s="242" t="n">
        <v>28100</v>
      </c>
      <c r="I403" s="242" t="n">
        <v>5305213950</v>
      </c>
      <c r="J403" s="242" t="n">
        <v>428923450750</v>
      </c>
      <c r="K403" s="242" t="n">
        <v>15183131</v>
      </c>
    </row>
    <row r="404">
      <c r="A404" s="408" t="n">
        <v>45982</v>
      </c>
      <c r="B404" s="242" t="n">
        <v>29700</v>
      </c>
      <c r="C404" s="242" t="n">
        <v>487098</v>
      </c>
      <c r="D404" s="242" t="n">
        <v>1450</v>
      </c>
      <c r="E404" s="243" t="n">
        <v>5.13</v>
      </c>
      <c r="F404" s="242" t="n">
        <v>26950</v>
      </c>
      <c r="G404" s="242" t="n">
        <v>29950</v>
      </c>
      <c r="H404" s="242" t="n">
        <v>26500</v>
      </c>
      <c r="I404" s="242" t="n">
        <v>14088195100</v>
      </c>
      <c r="J404" s="242" t="n">
        <v>450938990700</v>
      </c>
      <c r="K404" s="242" t="n">
        <v>15183131</v>
      </c>
    </row>
    <row r="405">
      <c r="A405" s="408" t="n">
        <v>45985</v>
      </c>
      <c r="B405" s="242" t="n">
        <v>28900</v>
      </c>
      <c r="C405" s="242" t="n">
        <v>222312</v>
      </c>
      <c r="D405" s="242" t="n">
        <v>-800</v>
      </c>
      <c r="E405" s="243" t="n">
        <v>-2.69</v>
      </c>
      <c r="F405" s="242" t="n">
        <v>30100</v>
      </c>
      <c r="G405" s="242" t="n">
        <v>30250</v>
      </c>
      <c r="H405" s="242" t="n">
        <v>28700</v>
      </c>
      <c r="I405" s="242" t="n">
        <v>6549359700</v>
      </c>
      <c r="J405" s="242" t="n">
        <v>438792485900</v>
      </c>
      <c r="K405" s="242" t="n">
        <v>15183131</v>
      </c>
    </row>
    <row r="406">
      <c r="A406" s="408" t="n">
        <v>45986</v>
      </c>
      <c r="B406" s="242" t="n">
        <v>28000</v>
      </c>
      <c r="C406" s="242" t="n">
        <v>138794</v>
      </c>
      <c r="D406" s="242" t="n">
        <v>-900</v>
      </c>
      <c r="E406" s="243" t="n">
        <v>-3.11</v>
      </c>
      <c r="F406" s="242" t="n">
        <v>29350</v>
      </c>
      <c r="G406" s="242" t="n">
        <v>29400</v>
      </c>
      <c r="H406" s="242" t="n">
        <v>27700</v>
      </c>
      <c r="I406" s="242" t="n">
        <v>3925196325</v>
      </c>
      <c r="J406" s="242" t="n">
        <v>425127668000</v>
      </c>
      <c r="K406" s="242" t="n">
        <v>15183131</v>
      </c>
    </row>
    <row r="407">
      <c r="A407" s="408" t="n">
        <v>45987</v>
      </c>
      <c r="B407" s="242" t="n">
        <v>28250</v>
      </c>
      <c r="C407" s="242" t="n">
        <v>100576</v>
      </c>
      <c r="D407" s="242" t="n">
        <v>250</v>
      </c>
      <c r="E407" s="243" t="n">
        <v>0.89</v>
      </c>
      <c r="F407" s="242" t="n">
        <v>27900</v>
      </c>
      <c r="G407" s="242" t="n">
        <v>28250</v>
      </c>
      <c r="H407" s="242" t="n">
        <v>27400</v>
      </c>
      <c r="I407" s="242" t="n">
        <v>2804759175</v>
      </c>
      <c r="J407" s="242" t="n">
        <v>428923450750</v>
      </c>
      <c r="K407" s="242" t="n">
        <v>15183131</v>
      </c>
    </row>
    <row r="408">
      <c r="A408" s="408" t="n">
        <v>45988</v>
      </c>
      <c r="B408" s="242" t="n">
        <v>29200</v>
      </c>
      <c r="C408" s="242" t="n">
        <v>184845</v>
      </c>
      <c r="D408" s="242" t="n">
        <v>950</v>
      </c>
      <c r="E408" s="243" t="n">
        <v>3.36</v>
      </c>
      <c r="F408" s="242" t="n">
        <v>28350</v>
      </c>
      <c r="G408" s="242" t="n">
        <v>29350</v>
      </c>
      <c r="H408" s="242" t="n">
        <v>28050</v>
      </c>
      <c r="I408" s="242" t="n">
        <v>5326222875</v>
      </c>
      <c r="J408" s="242" t="n">
        <v>443347425200</v>
      </c>
      <c r="K408" s="242" t="n">
        <v>15183131</v>
      </c>
    </row>
    <row r="409">
      <c r="A409" s="408" t="n">
        <v>45989</v>
      </c>
      <c r="B409" s="242" t="n">
        <v>31200</v>
      </c>
      <c r="C409" s="242" t="n">
        <v>481456</v>
      </c>
      <c r="D409" s="242" t="n">
        <v>2000</v>
      </c>
      <c r="E409" s="243" t="n">
        <v>6.85</v>
      </c>
      <c r="F409" s="242" t="n">
        <v>30500</v>
      </c>
      <c r="G409" s="242" t="n">
        <v>31200</v>
      </c>
      <c r="H409" s="242" t="n">
        <v>29800</v>
      </c>
      <c r="I409" s="242" t="n">
        <v>14638231200</v>
      </c>
      <c r="J409" s="242" t="n">
        <v>473713687200</v>
      </c>
      <c r="K409" s="242" t="n">
        <v>15183131</v>
      </c>
    </row>
    <row r="410">
      <c r="A410" s="408" t="n">
        <v>45992</v>
      </c>
      <c r="B410" s="242" t="n">
        <v>30000</v>
      </c>
      <c r="C410" s="242" t="n">
        <v>387754</v>
      </c>
      <c r="D410" s="242" t="n">
        <v>-1200</v>
      </c>
      <c r="E410" s="243" t="n">
        <v>-3.85</v>
      </c>
      <c r="F410" s="242" t="n">
        <v>31550</v>
      </c>
      <c r="G410" s="242" t="n">
        <v>32050</v>
      </c>
      <c r="H410" s="242" t="n">
        <v>29500</v>
      </c>
      <c r="I410" s="242" t="n">
        <v>11983740875</v>
      </c>
      <c r="J410" s="242" t="n">
        <v>455493930000</v>
      </c>
      <c r="K410" s="242" t="n">
        <v>15183131</v>
      </c>
    </row>
    <row r="411">
      <c r="A411" s="408" t="n">
        <v>45993</v>
      </c>
      <c r="B411" s="242" t="n">
        <v>31300</v>
      </c>
      <c r="C411" s="242" t="n">
        <v>236196</v>
      </c>
      <c r="D411" s="242" t="n">
        <v>1300</v>
      </c>
      <c r="E411" s="243" t="n">
        <v>4.33</v>
      </c>
      <c r="F411" s="242" t="n">
        <v>30500</v>
      </c>
      <c r="G411" s="242" t="n">
        <v>31600</v>
      </c>
      <c r="H411" s="242" t="n">
        <v>29700</v>
      </c>
      <c r="I411" s="242" t="n">
        <v>7225505150</v>
      </c>
      <c r="J411" s="242" t="n">
        <v>475232000300</v>
      </c>
      <c r="K411" s="242" t="n">
        <v>15183131</v>
      </c>
    </row>
    <row r="412">
      <c r="A412" s="408" t="n">
        <v>45994</v>
      </c>
      <c r="B412" s="242" t="n">
        <v>32400</v>
      </c>
      <c r="C412" s="242" t="n">
        <v>425134</v>
      </c>
      <c r="D412" s="242" t="n">
        <v>1100</v>
      </c>
      <c r="E412" s="243" t="n">
        <v>3.51</v>
      </c>
      <c r="F412" s="242" t="n">
        <v>32700</v>
      </c>
      <c r="G412" s="242" t="n">
        <v>32950</v>
      </c>
      <c r="H412" s="242" t="n">
        <v>31800</v>
      </c>
      <c r="I412" s="242" t="n">
        <v>13751151250</v>
      </c>
      <c r="J412" s="242" t="n">
        <v>491933444400</v>
      </c>
      <c r="K412" s="242" t="n">
        <v>15183131</v>
      </c>
    </row>
    <row r="413">
      <c r="A413" s="408" t="n">
        <v>45995</v>
      </c>
      <c r="B413" s="242" t="n">
        <v>32300</v>
      </c>
      <c r="C413" s="242" t="n">
        <v>592854</v>
      </c>
      <c r="D413" s="242" t="n">
        <v>-100</v>
      </c>
      <c r="E413" s="243" t="n">
        <v>-0.31</v>
      </c>
      <c r="F413" s="242" t="n">
        <v>33650</v>
      </c>
      <c r="G413" s="242" t="n">
        <v>34500</v>
      </c>
      <c r="H413" s="242" t="n">
        <v>32000</v>
      </c>
      <c r="I413" s="242" t="n">
        <v>19617520200</v>
      </c>
      <c r="J413" s="242" t="n">
        <v>490415131300</v>
      </c>
      <c r="K413" s="242" t="n">
        <v>15183131</v>
      </c>
    </row>
    <row r="414">
      <c r="A414" s="408" t="n">
        <v>45996</v>
      </c>
      <c r="B414" s="242" t="n">
        <v>31250</v>
      </c>
      <c r="C414" s="242" t="n">
        <v>389126</v>
      </c>
      <c r="D414" s="242" t="n">
        <v>-1050</v>
      </c>
      <c r="E414" s="243" t="n">
        <v>-3.25</v>
      </c>
      <c r="F414" s="242" t="n">
        <v>33000</v>
      </c>
      <c r="G414" s="242" t="n">
        <v>33000</v>
      </c>
      <c r="H414" s="242" t="n">
        <v>31050</v>
      </c>
      <c r="I414" s="242" t="n">
        <v>12432136475</v>
      </c>
      <c r="J414" s="242" t="n">
        <v>474472843750</v>
      </c>
      <c r="K414" s="242" t="n">
        <v>15183131</v>
      </c>
    </row>
    <row r="415">
      <c r="A415" s="408" t="n">
        <v>45999</v>
      </c>
      <c r="B415" s="242" t="n">
        <v>31800</v>
      </c>
      <c r="C415" s="242" t="n">
        <v>258236</v>
      </c>
      <c r="D415" s="242" t="n">
        <v>550</v>
      </c>
      <c r="E415" s="243" t="n">
        <v>1.76</v>
      </c>
      <c r="F415" s="242" t="n">
        <v>31500</v>
      </c>
      <c r="G415" s="242" t="n">
        <v>32400</v>
      </c>
      <c r="H415" s="242" t="n">
        <v>30600</v>
      </c>
      <c r="I415" s="242" t="n">
        <v>8205775400</v>
      </c>
      <c r="J415" s="242" t="n">
        <v>482823565800</v>
      </c>
      <c r="K415" s="242" t="n">
        <v>15183131</v>
      </c>
    </row>
    <row r="416">
      <c r="A416" s="408" t="n">
        <v>46000</v>
      </c>
      <c r="B416" s="242" t="n">
        <v>31600</v>
      </c>
      <c r="C416" s="242" t="n">
        <v>146397</v>
      </c>
      <c r="D416" s="242" t="n">
        <v>-200</v>
      </c>
      <c r="E416" s="243" t="n">
        <v>-0.63</v>
      </c>
      <c r="F416" s="242" t="n">
        <v>31400</v>
      </c>
      <c r="G416" s="242" t="n">
        <v>32000</v>
      </c>
      <c r="H416" s="242" t="n">
        <v>30950</v>
      </c>
      <c r="I416" s="242" t="n">
        <v>4594742800</v>
      </c>
      <c r="J416" s="242" t="n">
        <v>479786939600</v>
      </c>
      <c r="K416" s="242" t="n">
        <v>15183131</v>
      </c>
    </row>
    <row r="417">
      <c r="A417" s="408" t="n">
        <v>46001</v>
      </c>
      <c r="B417" s="242" t="n">
        <v>31300</v>
      </c>
      <c r="C417" s="242" t="n">
        <v>123437</v>
      </c>
      <c r="D417" s="242" t="n">
        <v>-300</v>
      </c>
      <c r="E417" s="243" t="n">
        <v>-0.95</v>
      </c>
      <c r="F417" s="242" t="n">
        <v>31700</v>
      </c>
      <c r="G417" s="242" t="n">
        <v>31900</v>
      </c>
      <c r="H417" s="242" t="n">
        <v>31100</v>
      </c>
      <c r="I417" s="242" t="n">
        <v>3877906825</v>
      </c>
      <c r="J417" s="242" t="n">
        <v>475232000300</v>
      </c>
      <c r="K417" s="242" t="n">
        <v>15183131</v>
      </c>
    </row>
    <row r="418">
      <c r="A418" s="408" t="n">
        <v>46002</v>
      </c>
      <c r="B418" s="242" t="n">
        <v>31250</v>
      </c>
      <c r="C418" s="242" t="n">
        <v>187705</v>
      </c>
      <c r="D418" s="242" t="n">
        <v>-50</v>
      </c>
      <c r="E418" s="243" t="n">
        <v>-0.16</v>
      </c>
      <c r="F418" s="242" t="n">
        <v>31600</v>
      </c>
      <c r="G418" s="242" t="n">
        <v>32000</v>
      </c>
      <c r="H418" s="242" t="n">
        <v>30750</v>
      </c>
      <c r="I418" s="242" t="n">
        <v>5888462100</v>
      </c>
      <c r="J418" s="242" t="n">
        <v>474472843750</v>
      </c>
      <c r="K418" s="242" t="n">
        <v>15183131</v>
      </c>
    </row>
    <row r="419">
      <c r="A419" s="408" t="n">
        <v>46003</v>
      </c>
      <c r="B419" s="242" t="n">
        <v>32850</v>
      </c>
      <c r="C419" s="242" t="n">
        <v>392948</v>
      </c>
      <c r="D419" s="242" t="n">
        <v>1600</v>
      </c>
      <c r="E419" s="243" t="n">
        <v>5.12</v>
      </c>
      <c r="F419" s="242" t="n">
        <v>31300</v>
      </c>
      <c r="G419" s="242" t="n">
        <v>32900</v>
      </c>
      <c r="H419" s="242" t="n">
        <v>30800</v>
      </c>
      <c r="I419" s="242" t="n">
        <v>12622620750</v>
      </c>
      <c r="J419" s="242" t="n">
        <v>498765853350</v>
      </c>
      <c r="K419" s="242" t="n">
        <v>15183131</v>
      </c>
    </row>
    <row r="420">
      <c r="A420" s="408" t="n">
        <v>46006</v>
      </c>
      <c r="B420" s="242" t="n">
        <v>32600</v>
      </c>
      <c r="C420" s="242" t="n">
        <v>461128</v>
      </c>
      <c r="D420" s="242" t="n">
        <v>-250</v>
      </c>
      <c r="E420" s="243" t="n">
        <v>-0.76</v>
      </c>
      <c r="F420" s="242" t="n">
        <v>32200</v>
      </c>
      <c r="G420" s="242" t="n">
        <v>33550</v>
      </c>
      <c r="H420" s="242" t="n">
        <v>31700</v>
      </c>
      <c r="I420" s="242" t="n">
        <v>15103812500</v>
      </c>
      <c r="J420" s="242" t="n">
        <v>494970070600</v>
      </c>
      <c r="K420" s="242" t="n">
        <v>15183131</v>
      </c>
    </row>
    <row r="421">
      <c r="A421" s="408" t="n">
        <v>46007</v>
      </c>
      <c r="B421" s="242" t="n">
        <v>31100</v>
      </c>
      <c r="C421" s="242" t="n">
        <v>234613</v>
      </c>
      <c r="D421" s="242" t="n">
        <v>-1500</v>
      </c>
      <c r="E421" s="243" t="n">
        <v>-4.6</v>
      </c>
      <c r="F421" s="242" t="n">
        <v>32750</v>
      </c>
      <c r="G421" s="242" t="n">
        <v>32750</v>
      </c>
      <c r="H421" s="242" t="n">
        <v>31050</v>
      </c>
      <c r="I421" s="242" t="n">
        <v>7425514300</v>
      </c>
      <c r="J421" s="242" t="n">
        <v>472195374100</v>
      </c>
      <c r="K421" s="242" t="n">
        <v>15183131</v>
      </c>
    </row>
    <row r="422">
      <c r="A422" s="408" t="n">
        <v>46008</v>
      </c>
      <c r="B422" s="242" t="n">
        <v>30050</v>
      </c>
      <c r="C422" s="242" t="n">
        <v>171496</v>
      </c>
      <c r="D422" s="242" t="n">
        <v>-1050</v>
      </c>
      <c r="E422" s="243" t="n">
        <v>-3.38</v>
      </c>
      <c r="F422" s="242" t="n">
        <v>31650</v>
      </c>
      <c r="G422" s="242" t="n">
        <v>31650</v>
      </c>
      <c r="H422" s="242" t="n">
        <v>29800</v>
      </c>
      <c r="I422" s="242" t="n">
        <v>5224130075</v>
      </c>
      <c r="J422" s="242" t="n">
        <v>456253086550</v>
      </c>
      <c r="K422" s="242" t="n">
        <v>15183131</v>
      </c>
    </row>
    <row r="423">
      <c r="A423" s="408" t="n">
        <v>46009</v>
      </c>
      <c r="B423" s="242" t="n">
        <v>30050</v>
      </c>
      <c r="C423" s="242" t="n">
        <v>126958</v>
      </c>
      <c r="D423" s="242" t="n">
        <v>0</v>
      </c>
      <c r="E423" s="243" t="n">
        <v>0</v>
      </c>
      <c r="F423" s="242" t="n">
        <v>29200</v>
      </c>
      <c r="G423" s="242" t="n">
        <v>30700</v>
      </c>
      <c r="H423" s="242" t="n">
        <v>29100</v>
      </c>
      <c r="I423" s="242" t="n">
        <v>3805014775</v>
      </c>
      <c r="J423" s="242" t="n">
        <v>456253086550</v>
      </c>
      <c r="K423" s="242" t="n">
        <v>15183131</v>
      </c>
    </row>
    <row r="424">
      <c r="A424" s="408" t="n">
        <v>46010</v>
      </c>
      <c r="B424" s="242" t="n">
        <v>30600</v>
      </c>
      <c r="C424" s="242" t="n">
        <v>130087</v>
      </c>
      <c r="D424" s="242" t="n">
        <v>550</v>
      </c>
      <c r="E424" s="243" t="n">
        <v>1.83</v>
      </c>
      <c r="F424" s="242" t="n">
        <v>30500</v>
      </c>
      <c r="G424" s="242" t="n">
        <v>30650</v>
      </c>
      <c r="H424" s="242" t="n">
        <v>29200</v>
      </c>
      <c r="I424" s="242" t="n">
        <v>3906604575</v>
      </c>
      <c r="J424" s="242" t="n">
        <v>464603808600</v>
      </c>
      <c r="K424" s="242" t="n">
        <v>15183131</v>
      </c>
    </row>
    <row r="425">
      <c r="A425" s="408" t="n">
        <v>46013</v>
      </c>
      <c r="B425" s="242" t="n">
        <v>32100</v>
      </c>
      <c r="C425" s="242" t="n">
        <v>393554</v>
      </c>
      <c r="D425" s="242" t="n">
        <v>1500</v>
      </c>
      <c r="E425" s="243" t="n">
        <v>4.9</v>
      </c>
      <c r="F425" s="242" t="n">
        <v>31600</v>
      </c>
      <c r="G425" s="242" t="n">
        <v>33050</v>
      </c>
      <c r="H425" s="242" t="n">
        <v>30700</v>
      </c>
      <c r="I425" s="242" t="n">
        <v>12651401625</v>
      </c>
      <c r="J425" s="242" t="n">
        <v>487378505100</v>
      </c>
      <c r="K425" s="242" t="n">
        <v>15183131</v>
      </c>
    </row>
    <row r="426">
      <c r="A426" s="408" t="n">
        <v>46014</v>
      </c>
      <c r="B426" s="242" t="n">
        <v>30950</v>
      </c>
      <c r="C426" s="242" t="n">
        <v>301582</v>
      </c>
      <c r="D426" s="242" t="n">
        <v>-1150</v>
      </c>
      <c r="E426" s="243" t="n">
        <v>-3.58</v>
      </c>
      <c r="F426" s="242" t="n">
        <v>32200</v>
      </c>
      <c r="G426" s="242" t="n">
        <v>33000</v>
      </c>
      <c r="H426" s="242" t="n">
        <v>30750</v>
      </c>
      <c r="I426" s="242" t="n">
        <v>9575175700</v>
      </c>
      <c r="J426" s="242" t="n">
        <v>469917904450</v>
      </c>
      <c r="K426" s="242" t="n">
        <v>15183131</v>
      </c>
    </row>
    <row r="427">
      <c r="A427" s="408" t="n">
        <v>46015</v>
      </c>
      <c r="B427" s="242" t="n">
        <v>30050</v>
      </c>
      <c r="C427" s="242" t="n">
        <v>163463</v>
      </c>
      <c r="D427" s="242" t="n">
        <v>-900</v>
      </c>
      <c r="E427" s="243" t="n">
        <v>-2.91</v>
      </c>
      <c r="F427" s="242" t="n">
        <v>31150</v>
      </c>
      <c r="G427" s="242" t="n">
        <v>31150</v>
      </c>
      <c r="H427" s="242" t="n">
        <v>29900</v>
      </c>
      <c r="I427" s="242" t="n">
        <v>4959288500</v>
      </c>
      <c r="J427" s="242" t="n">
        <v>456253086550</v>
      </c>
      <c r="K427" s="242" t="n">
        <v>15183131</v>
      </c>
    </row>
    <row r="428">
      <c r="A428" s="408" t="n">
        <v>46017</v>
      </c>
      <c r="B428" s="242" t="n">
        <v>30400</v>
      </c>
      <c r="C428" s="242" t="n">
        <v>133765</v>
      </c>
      <c r="D428" s="242" t="n">
        <v>350</v>
      </c>
      <c r="E428" s="243" t="n">
        <v>1.16</v>
      </c>
      <c r="F428" s="242" t="n">
        <v>30550</v>
      </c>
      <c r="G428" s="242" t="n">
        <v>30600</v>
      </c>
      <c r="H428" s="242" t="n">
        <v>29800</v>
      </c>
      <c r="I428" s="242" t="n">
        <v>4039301875</v>
      </c>
      <c r="J428" s="242" t="n">
        <v>462628811200</v>
      </c>
      <c r="K428" s="242" t="n">
        <v>15218053</v>
      </c>
    </row>
    <row r="429">
      <c r="A429" s="408" t="n">
        <v>46020</v>
      </c>
      <c r="B429" s="242" t="n">
        <v>32750</v>
      </c>
      <c r="C429" s="242" t="n">
        <v>490670</v>
      </c>
      <c r="D429" s="242" t="n">
        <v>2350</v>
      </c>
      <c r="E429" s="243" t="n">
        <v>7.73</v>
      </c>
      <c r="F429" s="242" t="n">
        <v>30700</v>
      </c>
      <c r="G429" s="242" t="n">
        <v>33000</v>
      </c>
      <c r="H429" s="242" t="n">
        <v>30550</v>
      </c>
      <c r="I429" s="242" t="n">
        <v>15859987850</v>
      </c>
      <c r="J429" s="242" t="n">
        <v>498391235750</v>
      </c>
      <c r="K429" s="242" t="n">
        <v>15218053</v>
      </c>
    </row>
    <row r="430">
      <c r="A430" s="408" t="n">
        <v>46021</v>
      </c>
      <c r="B430" s="242" t="n">
        <v>30650</v>
      </c>
      <c r="C430" s="242" t="n">
        <v>352154</v>
      </c>
      <c r="D430" s="242" t="n">
        <v>-2100</v>
      </c>
      <c r="E430" s="243" t="n">
        <v>-6.41</v>
      </c>
      <c r="F430" s="242" t="n">
        <v>33200</v>
      </c>
      <c r="G430" s="242" t="n">
        <v>33250</v>
      </c>
      <c r="H430" s="242" t="n">
        <v>30600</v>
      </c>
      <c r="I430" s="242" t="n">
        <v>11073799275</v>
      </c>
      <c r="J430" s="242" t="n">
        <v>466433324450</v>
      </c>
      <c r="K430" s="242" t="n">
        <v>15218053</v>
      </c>
    </row>
    <row r="431">
      <c r="A431" s="408" t="n">
        <v>46024</v>
      </c>
      <c r="B431" s="242" t="n">
        <v>31300</v>
      </c>
      <c r="C431" s="242" t="n">
        <v>186369</v>
      </c>
      <c r="D431" s="242" t="n">
        <v>650</v>
      </c>
      <c r="E431" s="243" t="n">
        <v>2.12</v>
      </c>
      <c r="F431" s="242" t="n">
        <v>30700</v>
      </c>
      <c r="G431" s="242" t="n">
        <v>31700</v>
      </c>
      <c r="H431" s="242" t="n">
        <v>30300</v>
      </c>
      <c r="I431" s="242" t="n">
        <v>5809708275</v>
      </c>
      <c r="J431" s="242" t="n">
        <v>476325058900</v>
      </c>
      <c r="K431" s="242" t="n">
        <v>15218053</v>
      </c>
    </row>
    <row r="432">
      <c r="A432" s="408" t="n">
        <v>46027</v>
      </c>
      <c r="B432" s="242" t="n">
        <v>31350</v>
      </c>
      <c r="C432" s="242" t="n">
        <v>176320</v>
      </c>
      <c r="D432" s="242" t="n">
        <v>50</v>
      </c>
      <c r="E432" s="243" t="n">
        <v>0.16</v>
      </c>
      <c r="F432" s="242" t="n">
        <v>31100</v>
      </c>
      <c r="G432" s="242" t="n">
        <v>31450</v>
      </c>
      <c r="H432" s="242" t="n">
        <v>30150</v>
      </c>
      <c r="I432" s="242" t="n">
        <v>5447317200</v>
      </c>
      <c r="J432" s="242" t="n">
        <v>477085961550</v>
      </c>
      <c r="K432" s="242" t="n">
        <v>15218053</v>
      </c>
    </row>
    <row r="433">
      <c r="A433" s="408" t="n">
        <v>46028</v>
      </c>
      <c r="B433" s="242" t="n">
        <v>30500</v>
      </c>
      <c r="C433" s="242" t="n">
        <v>191543</v>
      </c>
      <c r="D433" s="242" t="n">
        <v>-850</v>
      </c>
      <c r="E433" s="243" t="n">
        <v>-2.71</v>
      </c>
      <c r="F433" s="242" t="n">
        <v>31600</v>
      </c>
      <c r="G433" s="242" t="n">
        <v>31700</v>
      </c>
      <c r="H433" s="242" t="n">
        <v>30300</v>
      </c>
      <c r="I433" s="242" t="n">
        <v>5893380600</v>
      </c>
      <c r="J433" s="242" t="n">
        <v>464150616500</v>
      </c>
      <c r="K433" s="242" t="n">
        <v>15218053</v>
      </c>
    </row>
    <row r="434">
      <c r="A434" s="408" t="n">
        <v>46029</v>
      </c>
      <c r="B434" s="242" t="n">
        <v>30300</v>
      </c>
      <c r="C434" s="242" t="n">
        <v>191049</v>
      </c>
      <c r="D434" s="242" t="n">
        <v>-200</v>
      </c>
      <c r="E434" s="243" t="n">
        <v>-0.66</v>
      </c>
      <c r="F434" s="242" t="n">
        <v>30750</v>
      </c>
      <c r="G434" s="242" t="n">
        <v>30950</v>
      </c>
      <c r="H434" s="242" t="n">
        <v>30000</v>
      </c>
      <c r="I434" s="242" t="n">
        <v>5818922000</v>
      </c>
      <c r="J434" s="242" t="n">
        <v>461107005900</v>
      </c>
      <c r="K434" s="242" t="n">
        <v>15218053</v>
      </c>
    </row>
    <row r="435">
      <c r="A435" s="408" t="n">
        <v>46030</v>
      </c>
      <c r="B435" s="242" t="n">
        <v>29300</v>
      </c>
      <c r="C435" s="242" t="n">
        <v>173011</v>
      </c>
      <c r="D435" s="242" t="n">
        <v>-1000</v>
      </c>
      <c r="E435" s="243" t="n">
        <v>-3.3</v>
      </c>
      <c r="F435" s="242" t="n">
        <v>30550</v>
      </c>
      <c r="G435" s="242" t="n">
        <v>30550</v>
      </c>
      <c r="H435" s="242" t="n">
        <v>29250</v>
      </c>
      <c r="I435" s="242" t="n">
        <v>5114546425</v>
      </c>
      <c r="J435" s="242" t="n">
        <v>445888952900</v>
      </c>
      <c r="K435" s="242" t="n">
        <v>15218053</v>
      </c>
    </row>
    <row r="436">
      <c r="A436" s="408" t="n">
        <v>46031</v>
      </c>
      <c r="B436" s="242" t="n">
        <v>28850</v>
      </c>
      <c r="C436" s="242" t="n">
        <v>145393</v>
      </c>
      <c r="D436" s="242" t="n">
        <v>-450</v>
      </c>
      <c r="E436" s="243" t="n">
        <v>-1.54</v>
      </c>
      <c r="F436" s="242" t="n">
        <v>29650</v>
      </c>
      <c r="G436" s="242" t="n">
        <v>29650</v>
      </c>
      <c r="H436" s="242" t="n">
        <v>28400</v>
      </c>
      <c r="I436" s="242" t="n">
        <v>4184776475</v>
      </c>
      <c r="J436" s="242" t="n">
        <v>439040829050</v>
      </c>
      <c r="K436" s="242" t="n">
        <v>15218053</v>
      </c>
    </row>
    <row r="437">
      <c r="A437" s="408" t="n">
        <v>46034</v>
      </c>
      <c r="B437" s="242" t="n">
        <v>29100</v>
      </c>
      <c r="C437" s="242" t="n">
        <v>119684</v>
      </c>
      <c r="D437" s="242" t="n">
        <v>250</v>
      </c>
      <c r="E437" s="243" t="n">
        <v>0.87</v>
      </c>
      <c r="F437" s="242" t="n">
        <v>29000</v>
      </c>
      <c r="G437" s="242" t="n">
        <v>29300</v>
      </c>
      <c r="H437" s="242" t="n">
        <v>28600</v>
      </c>
      <c r="I437" s="242" t="n">
        <v>3462114300</v>
      </c>
      <c r="J437" s="242" t="n">
        <v>442845342300</v>
      </c>
      <c r="K437" s="242" t="n">
        <v>15218053</v>
      </c>
    </row>
    <row r="438">
      <c r="A438" s="408" t="n">
        <v>46035</v>
      </c>
      <c r="B438" s="242" t="n">
        <v>30350</v>
      </c>
      <c r="C438" s="242" t="n">
        <v>191364</v>
      </c>
      <c r="D438" s="242" t="n">
        <v>1250</v>
      </c>
      <c r="E438" s="243" t="n">
        <v>4.3</v>
      </c>
      <c r="F438" s="242" t="n">
        <v>29750</v>
      </c>
      <c r="G438" s="242" t="n">
        <v>30400</v>
      </c>
      <c r="H438" s="242" t="n">
        <v>29400</v>
      </c>
      <c r="I438" s="242" t="n">
        <v>5719962975</v>
      </c>
      <c r="J438" s="242" t="n">
        <v>461867908550</v>
      </c>
      <c r="K438" s="242" t="n">
        <v>15218053</v>
      </c>
    </row>
    <row r="439">
      <c r="A439" s="408" t="n">
        <v>46036</v>
      </c>
      <c r="B439" s="242" t="n">
        <v>31450</v>
      </c>
      <c r="C439" s="242" t="n">
        <v>402633</v>
      </c>
      <c r="D439" s="242" t="n">
        <v>1100</v>
      </c>
      <c r="E439" s="243" t="n">
        <v>3.62</v>
      </c>
      <c r="F439" s="242" t="n">
        <v>31300</v>
      </c>
      <c r="G439" s="242" t="n">
        <v>32350</v>
      </c>
      <c r="H439" s="242" t="n">
        <v>30550</v>
      </c>
      <c r="I439" s="242" t="n">
        <v>12663628275</v>
      </c>
      <c r="J439" s="242" t="n">
        <v>478607766850</v>
      </c>
      <c r="K439" s="242" t="n">
        <v>15218053</v>
      </c>
    </row>
    <row r="440">
      <c r="A440" s="408" t="n">
        <v>46037</v>
      </c>
      <c r="B440" s="242" t="n">
        <v>37500</v>
      </c>
      <c r="C440" s="242" t="n">
        <v>3005549</v>
      </c>
      <c r="D440" s="242" t="n">
        <v>6050</v>
      </c>
      <c r="E440" s="243" t="n">
        <v>19.24</v>
      </c>
      <c r="F440" s="242" t="n">
        <v>31100</v>
      </c>
      <c r="G440" s="242" t="n">
        <v>37700</v>
      </c>
      <c r="H440" s="242" t="n">
        <v>30900</v>
      </c>
      <c r="I440" s="242" t="n">
        <v>106846041150</v>
      </c>
      <c r="J440" s="242" t="n">
        <v>570676987500</v>
      </c>
      <c r="K440" s="242" t="n">
        <v>15218053</v>
      </c>
    </row>
    <row r="441">
      <c r="A441" s="408" t="n">
        <v>46038</v>
      </c>
      <c r="B441" s="242" t="n">
        <v>34600</v>
      </c>
      <c r="C441" s="242" t="n">
        <v>1252809</v>
      </c>
      <c r="D441" s="242" t="n">
        <v>-2900</v>
      </c>
      <c r="E441" s="243" t="n">
        <v>-7.73</v>
      </c>
      <c r="F441" s="242" t="n">
        <v>36300</v>
      </c>
      <c r="G441" s="242" t="n">
        <v>36900</v>
      </c>
      <c r="H441" s="242" t="n">
        <v>34250</v>
      </c>
      <c r="I441" s="242" t="n">
        <v>44650402025</v>
      </c>
      <c r="J441" s="242" t="n">
        <v>526544633800</v>
      </c>
      <c r="K441" s="242" t="n">
        <v>15218053</v>
      </c>
    </row>
    <row r="442">
      <c r="A442" s="408" t="n">
        <v>46041</v>
      </c>
      <c r="B442" s="242" t="n">
        <v>36500</v>
      </c>
      <c r="C442" s="242" t="n">
        <v>1018205</v>
      </c>
      <c r="D442" s="242" t="n">
        <v>1900</v>
      </c>
      <c r="E442" s="243" t="n">
        <v>5.49</v>
      </c>
      <c r="F442" s="242" t="n">
        <v>35700</v>
      </c>
      <c r="G442" s="242" t="n">
        <v>36750</v>
      </c>
      <c r="H442" s="242" t="n">
        <v>35250</v>
      </c>
      <c r="I442" s="242" t="n">
        <v>36828739450</v>
      </c>
      <c r="J442" s="242" t="n">
        <v>555458934500</v>
      </c>
      <c r="K442" s="242" t="n">
        <v>15218053</v>
      </c>
    </row>
    <row r="443">
      <c r="A443" s="408" t="n">
        <v>46042</v>
      </c>
      <c r="B443" s="242" t="n">
        <v>36600</v>
      </c>
      <c r="C443" s="242" t="n">
        <v>1394176</v>
      </c>
      <c r="D443" s="242" t="n">
        <v>100</v>
      </c>
      <c r="E443" s="243" t="n">
        <v>0.27</v>
      </c>
      <c r="F443" s="242" t="n">
        <v>38200</v>
      </c>
      <c r="G443" s="242" t="n">
        <v>39550</v>
      </c>
      <c r="H443" s="242" t="n">
        <v>33300</v>
      </c>
      <c r="I443" s="242" t="n">
        <v>50559479075</v>
      </c>
      <c r="J443" s="242" t="n">
        <v>556980739800</v>
      </c>
      <c r="K443" s="242" t="n">
        <v>15218053</v>
      </c>
    </row>
    <row r="444">
      <c r="A444" s="408" t="n">
        <v>46043</v>
      </c>
      <c r="B444" s="242" t="n">
        <v>38750</v>
      </c>
      <c r="C444" s="242" t="n">
        <v>1991389</v>
      </c>
      <c r="D444" s="242" t="n">
        <v>2150</v>
      </c>
      <c r="E444" s="243" t="n">
        <v>5.87</v>
      </c>
      <c r="F444" s="242" t="n">
        <v>34750</v>
      </c>
      <c r="G444" s="242" t="n">
        <v>41400</v>
      </c>
      <c r="H444" s="242" t="n">
        <v>34650</v>
      </c>
      <c r="I444" s="242" t="n">
        <v>77080214600</v>
      </c>
      <c r="J444" s="242" t="n">
        <v>589699553750</v>
      </c>
      <c r="K444" s="242" t="n">
        <v>15218053</v>
      </c>
    </row>
    <row r="445">
      <c r="A445" s="408" t="n">
        <v>46044</v>
      </c>
      <c r="B445" s="242" t="n">
        <v>38700</v>
      </c>
      <c r="C445" s="242" t="n">
        <v>1393136</v>
      </c>
      <c r="D445" s="242" t="n">
        <v>-50</v>
      </c>
      <c r="E445" s="243" t="n">
        <v>-0.13</v>
      </c>
      <c r="F445" s="242" t="n">
        <v>43100</v>
      </c>
      <c r="G445" s="242" t="n">
        <v>43950</v>
      </c>
      <c r="H445" s="242" t="n">
        <v>37800</v>
      </c>
      <c r="I445" s="242" t="n">
        <v>55922300750</v>
      </c>
      <c r="J445" s="242" t="n">
        <v>588938651100</v>
      </c>
      <c r="K445" s="242" t="n">
        <v>15218053</v>
      </c>
    </row>
    <row r="446">
      <c r="A446" s="408" t="n">
        <v>46045</v>
      </c>
      <c r="B446" s="242" t="n">
        <v>36800</v>
      </c>
      <c r="C446" s="242" t="n">
        <v>594722</v>
      </c>
      <c r="D446" s="242" t="n">
        <v>-1900</v>
      </c>
      <c r="E446" s="243" t="n">
        <v>-4.91</v>
      </c>
      <c r="F446" s="242" t="n">
        <v>38900</v>
      </c>
      <c r="G446" s="242" t="n">
        <v>39500</v>
      </c>
      <c r="H446" s="242" t="n">
        <v>36650</v>
      </c>
      <c r="I446" s="242" t="n">
        <v>22698018325</v>
      </c>
      <c r="J446" s="242" t="n">
        <v>560024350400</v>
      </c>
      <c r="K446" s="242" t="n">
        <v>15218053</v>
      </c>
    </row>
    <row r="447">
      <c r="A447" s="408" t="n">
        <v>46048</v>
      </c>
      <c r="B447" s="242" t="n">
        <v>39500</v>
      </c>
      <c r="C447" s="242" t="n">
        <v>876626</v>
      </c>
      <c r="D447" s="242" t="n">
        <v>2700</v>
      </c>
      <c r="E447" s="243" t="n">
        <v>7.34</v>
      </c>
      <c r="F447" s="242" t="n">
        <v>35800</v>
      </c>
      <c r="G447" s="242" t="n">
        <v>39650</v>
      </c>
      <c r="H447" s="242" t="n">
        <v>35400</v>
      </c>
      <c r="I447" s="242" t="n">
        <v>33606994775</v>
      </c>
      <c r="J447" s="242" t="n">
        <v>601113093500</v>
      </c>
      <c r="K447" s="242" t="n">
        <v>15218053</v>
      </c>
    </row>
    <row r="448">
      <c r="A448" s="408" t="n">
        <v>46049</v>
      </c>
      <c r="B448" s="242" t="n">
        <v>38150</v>
      </c>
      <c r="C448" s="242" t="n">
        <v>364202</v>
      </c>
      <c r="D448" s="242" t="n">
        <v>-1350</v>
      </c>
      <c r="E448" s="243" t="n">
        <v>-3.42</v>
      </c>
      <c r="F448" s="242" t="n">
        <v>38300</v>
      </c>
      <c r="G448" s="242" t="n">
        <v>39000</v>
      </c>
      <c r="H448" s="242" t="n">
        <v>37300</v>
      </c>
      <c r="I448" s="242" t="n">
        <v>13843561150</v>
      </c>
      <c r="J448" s="242" t="n">
        <v>580568721950</v>
      </c>
      <c r="K448" s="242" t="n">
        <v>15218053</v>
      </c>
    </row>
    <row r="449">
      <c r="A449" s="408" t="n">
        <v>46050</v>
      </c>
      <c r="B449" s="242" t="n">
        <v>38200</v>
      </c>
      <c r="C449" s="242" t="n">
        <v>501139</v>
      </c>
      <c r="D449" s="242" t="n">
        <v>50</v>
      </c>
      <c r="E449" s="243" t="n">
        <v>0.13</v>
      </c>
      <c r="F449" s="242" t="n">
        <v>38950</v>
      </c>
      <c r="G449" s="242" t="n">
        <v>39300</v>
      </c>
      <c r="H449" s="242" t="n">
        <v>37700</v>
      </c>
      <c r="I449" s="242" t="n">
        <v>19320820075</v>
      </c>
      <c r="J449" s="242" t="n">
        <v>581329624600</v>
      </c>
      <c r="K449" s="242" t="n">
        <v>15218053</v>
      </c>
    </row>
    <row r="450">
      <c r="A450" s="408" t="n">
        <v>46051</v>
      </c>
      <c r="B450" s="242" t="n">
        <v>37350</v>
      </c>
      <c r="C450" s="242" t="n">
        <v>415039</v>
      </c>
      <c r="D450" s="242" t="n">
        <v>-850</v>
      </c>
      <c r="E450" s="243" t="n">
        <v>-2.23</v>
      </c>
      <c r="F450" s="242" t="n">
        <v>37800</v>
      </c>
      <c r="G450" s="242" t="n">
        <v>37800</v>
      </c>
      <c r="H450" s="242" t="n">
        <v>36050</v>
      </c>
      <c r="I450" s="242" t="n">
        <v>15347189775</v>
      </c>
      <c r="J450" s="242" t="n">
        <v>568394279550</v>
      </c>
      <c r="K450" s="242" t="n">
        <v>15218053</v>
      </c>
    </row>
    <row r="451">
      <c r="A451" s="408" t="n">
        <v>46052</v>
      </c>
      <c r="B451" s="242" t="n">
        <v>37200</v>
      </c>
      <c r="C451" s="242" t="n">
        <v>339515</v>
      </c>
      <c r="D451" s="242" t="n">
        <v>-150</v>
      </c>
      <c r="E451" s="243" t="n">
        <v>-0.4</v>
      </c>
      <c r="F451" s="242" t="n">
        <v>38100</v>
      </c>
      <c r="G451" s="242" t="n">
        <v>38550</v>
      </c>
      <c r="H451" s="242" t="n">
        <v>36750</v>
      </c>
      <c r="I451" s="242" t="n">
        <v>12800952800</v>
      </c>
      <c r="J451" s="242" t="n">
        <v>566111571600</v>
      </c>
      <c r="K451" s="242" t="n">
        <v>15218053</v>
      </c>
    </row>
    <row r="452">
      <c r="A452" s="408" t="n">
        <v>46055</v>
      </c>
      <c r="B452" s="242" t="n">
        <v>35200</v>
      </c>
      <c r="C452" s="242" t="n">
        <v>263772</v>
      </c>
      <c r="D452" s="242" t="n">
        <v>-2000</v>
      </c>
      <c r="E452" s="243" t="n">
        <v>-5.38</v>
      </c>
      <c r="F452" s="242" t="n">
        <v>36200</v>
      </c>
      <c r="G452" s="242" t="n">
        <v>38050</v>
      </c>
      <c r="H452" s="242" t="n">
        <v>35000</v>
      </c>
      <c r="I452" s="242" t="n">
        <v>9607480175</v>
      </c>
      <c r="J452" s="242" t="n">
        <v>535675465600</v>
      </c>
      <c r="K452" s="242" t="n">
        <v>15218053</v>
      </c>
    </row>
    <row r="453">
      <c r="A453" s="408" t="n">
        <v>46056</v>
      </c>
      <c r="B453" s="242" t="n">
        <v>36750</v>
      </c>
      <c r="C453" s="242" t="n">
        <v>197161</v>
      </c>
      <c r="D453" s="242" t="n">
        <v>1550</v>
      </c>
      <c r="E453" s="243" t="n">
        <v>4.4</v>
      </c>
      <c r="F453" s="242" t="n">
        <v>36150</v>
      </c>
      <c r="G453" s="242" t="n">
        <v>37350</v>
      </c>
      <c r="H453" s="242" t="n">
        <v>35450</v>
      </c>
      <c r="I453" s="242" t="n">
        <v>7189798475</v>
      </c>
      <c r="J453" s="242" t="n">
        <v>559263447750</v>
      </c>
      <c r="K453" s="242" t="n">
        <v>15218053</v>
      </c>
    </row>
    <row r="454">
      <c r="A454" s="408" t="n">
        <v>46057</v>
      </c>
      <c r="B454" s="242" t="n">
        <v>37200</v>
      </c>
      <c r="C454" s="242" t="n">
        <v>176150</v>
      </c>
      <c r="D454" s="242" t="n">
        <v>450</v>
      </c>
      <c r="E454" s="243" t="n">
        <v>1.22</v>
      </c>
      <c r="F454" s="242" t="n">
        <v>37000</v>
      </c>
      <c r="G454" s="242" t="n">
        <v>37300</v>
      </c>
      <c r="H454" s="242" t="n">
        <v>36400</v>
      </c>
      <c r="I454" s="242" t="n">
        <v>6478017850</v>
      </c>
      <c r="J454" s="242" t="n">
        <v>566111571600</v>
      </c>
      <c r="K454" s="242" t="n">
        <v>15218053</v>
      </c>
    </row>
    <row r="455">
      <c r="A455" s="408" t="n">
        <v>46058</v>
      </c>
      <c r="B455" s="242" t="n">
        <v>35350</v>
      </c>
      <c r="C455" s="242" t="n">
        <v>167560</v>
      </c>
      <c r="D455" s="242" t="n">
        <v>-1850</v>
      </c>
      <c r="E455" s="243" t="n">
        <v>-4.97</v>
      </c>
      <c r="F455" s="242" t="n">
        <v>36800</v>
      </c>
      <c r="G455" s="242" t="n">
        <v>36800</v>
      </c>
      <c r="H455" s="242" t="n">
        <v>35000</v>
      </c>
      <c r="I455" s="242" t="n">
        <v>6000720425</v>
      </c>
      <c r="J455" s="242" t="n">
        <v>537958173550</v>
      </c>
      <c r="K455" s="242" t="n">
        <v>15218053</v>
      </c>
    </row>
    <row r="456">
      <c r="A456" s="408" t="n">
        <v>46059</v>
      </c>
      <c r="B456" s="242" t="n">
        <v>33300</v>
      </c>
      <c r="C456" s="242" t="n">
        <v>194117</v>
      </c>
      <c r="D456" s="242" t="n">
        <v>-2050</v>
      </c>
      <c r="E456" s="243" t="n">
        <v>-5.8</v>
      </c>
      <c r="F456" s="242" t="n">
        <v>33800</v>
      </c>
      <c r="G456" s="242" t="n">
        <v>34300</v>
      </c>
      <c r="H456" s="242" t="n">
        <v>32400</v>
      </c>
      <c r="I456" s="242" t="n">
        <v>6454335325</v>
      </c>
      <c r="J456" s="242" t="n">
        <v>506761164900</v>
      </c>
      <c r="K456" s="242" t="n">
        <v>15218053</v>
      </c>
    </row>
    <row r="457">
      <c r="A457" s="408" t="n">
        <v>46062</v>
      </c>
      <c r="B457" s="242" t="n">
        <v>34400</v>
      </c>
      <c r="C457" s="242" t="n">
        <v>108716</v>
      </c>
      <c r="D457" s="242" t="n">
        <v>1100</v>
      </c>
      <c r="E457" s="243" t="n">
        <v>3.3</v>
      </c>
      <c r="F457" s="242" t="n">
        <v>34700</v>
      </c>
      <c r="G457" s="242" t="n">
        <v>34800</v>
      </c>
      <c r="H457" s="242" t="n">
        <v>33800</v>
      </c>
      <c r="I457" s="242" t="n">
        <v>3739531550</v>
      </c>
      <c r="J457" s="242" t="n">
        <v>523501023200</v>
      </c>
      <c r="K457" s="242" t="n">
        <v>15218053</v>
      </c>
    </row>
    <row r="458">
      <c r="A458" s="408" t="n">
        <v>46063</v>
      </c>
      <c r="B458" s="242" t="n">
        <v>34700</v>
      </c>
      <c r="C458" s="242" t="n">
        <v>116591</v>
      </c>
      <c r="D458" s="242" t="n">
        <v>300</v>
      </c>
      <c r="E458" s="243" t="n">
        <v>0.87</v>
      </c>
      <c r="F458" s="242" t="n">
        <v>36000</v>
      </c>
      <c r="G458" s="242" t="n">
        <v>36200</v>
      </c>
      <c r="H458" s="242" t="n">
        <v>34600</v>
      </c>
      <c r="I458" s="242" t="n">
        <v>4091792175</v>
      </c>
      <c r="J458" s="242" t="n">
        <v>528066439100</v>
      </c>
      <c r="K458" s="242" t="n">
        <v>15218053</v>
      </c>
    </row>
    <row r="459">
      <c r="A459" s="408" t="n">
        <v>46064</v>
      </c>
      <c r="B459" s="242" t="n">
        <v>34900</v>
      </c>
      <c r="C459" s="242" t="n">
        <v>128476</v>
      </c>
      <c r="D459" s="242" t="n">
        <v>200</v>
      </c>
      <c r="E459" s="243" t="n">
        <v>0.58</v>
      </c>
      <c r="F459" s="242" t="n">
        <v>34850</v>
      </c>
      <c r="G459" s="242" t="n">
        <v>35300</v>
      </c>
      <c r="H459" s="242" t="n">
        <v>33650</v>
      </c>
      <c r="I459" s="242" t="n">
        <v>4450329400</v>
      </c>
      <c r="J459" s="242" t="n">
        <v>531110049700</v>
      </c>
      <c r="K459" s="242" t="n">
        <v>15218053</v>
      </c>
    </row>
    <row r="460">
      <c r="A460" s="408" t="n">
        <v>46065</v>
      </c>
      <c r="B460" s="242" t="n">
        <v>35650</v>
      </c>
      <c r="C460" s="242" t="n">
        <v>165562</v>
      </c>
      <c r="D460" s="242" t="n">
        <v>750</v>
      </c>
      <c r="E460" s="243" t="n">
        <v>2.15</v>
      </c>
      <c r="F460" s="242" t="n">
        <v>36600</v>
      </c>
      <c r="G460" s="242" t="n">
        <v>36700</v>
      </c>
      <c r="H460" s="242" t="n">
        <v>35250</v>
      </c>
      <c r="I460" s="242" t="n">
        <v>5942391500</v>
      </c>
      <c r="J460" s="242" t="n">
        <v>542523589450</v>
      </c>
      <c r="K460" s="242" t="n">
        <v>15218053</v>
      </c>
    </row>
    <row r="461">
      <c r="A461" s="408" t="n">
        <v>46066</v>
      </c>
      <c r="B461" s="242" t="n">
        <v>35000</v>
      </c>
      <c r="C461" s="242" t="n">
        <v>90103</v>
      </c>
      <c r="D461" s="242" t="n">
        <v>-650</v>
      </c>
      <c r="E461" s="243" t="n">
        <v>-1.82</v>
      </c>
      <c r="F461" s="242" t="n">
        <v>34650</v>
      </c>
      <c r="G461" s="242" t="n">
        <v>35500</v>
      </c>
      <c r="H461" s="242" t="n">
        <v>34300</v>
      </c>
      <c r="I461" s="242" t="n">
        <v>3137320125</v>
      </c>
      <c r="J461" s="242" t="n">
        <v>532631855000</v>
      </c>
      <c r="K461" s="242" t="n">
        <v>15218053</v>
      </c>
    </row>
    <row r="462">
      <c r="A462" s="408" t="n">
        <v>46072</v>
      </c>
      <c r="B462" s="242" t="n">
        <v>35100</v>
      </c>
      <c r="C462" s="242" t="n">
        <v>140662</v>
      </c>
      <c r="D462" s="242" t="n">
        <v>100</v>
      </c>
      <c r="E462" s="243" t="n">
        <v>0.29</v>
      </c>
      <c r="F462" s="242" t="n">
        <v>35200</v>
      </c>
      <c r="G462" s="242" t="n">
        <v>35450</v>
      </c>
      <c r="H462" s="242" t="n">
        <v>34050</v>
      </c>
      <c r="I462" s="242" t="n">
        <v>4878963625</v>
      </c>
      <c r="J462" s="242" t="n">
        <v>534153660300</v>
      </c>
      <c r="K462" s="242" t="n">
        <v>15218053</v>
      </c>
    </row>
    <row r="463">
      <c r="A463" s="408" t="n">
        <v>46073</v>
      </c>
      <c r="B463" s="242" t="n">
        <v>34200</v>
      </c>
      <c r="C463" s="242" t="n">
        <v>98425</v>
      </c>
      <c r="D463" s="242" t="n">
        <v>-900</v>
      </c>
      <c r="E463" s="243" t="n">
        <v>-2.56</v>
      </c>
      <c r="F463" s="242" t="n">
        <v>35300</v>
      </c>
      <c r="G463" s="242" t="n">
        <v>35350</v>
      </c>
      <c r="H463" s="242" t="n">
        <v>33000</v>
      </c>
      <c r="I463" s="242" t="n">
        <v>3382096275</v>
      </c>
      <c r="J463" s="242" t="n">
        <v>520457412600</v>
      </c>
      <c r="K463" s="242" t="n">
        <v>15218053</v>
      </c>
    </row>
    <row r="464">
      <c r="A464" s="408" t="n">
        <v>46076</v>
      </c>
      <c r="B464" s="242" t="n">
        <v>33400</v>
      </c>
      <c r="C464" s="242" t="n">
        <v>132526</v>
      </c>
      <c r="D464" s="242" t="n">
        <v>-800</v>
      </c>
      <c r="E464" s="243" t="n">
        <v>-2.34</v>
      </c>
      <c r="F464" s="242" t="n">
        <v>34450</v>
      </c>
      <c r="G464" s="242" t="n">
        <v>34650</v>
      </c>
      <c r="H464" s="242" t="n">
        <v>33200</v>
      </c>
      <c r="I464" s="242" t="n">
        <v>4476893750</v>
      </c>
      <c r="J464" s="242" t="n">
        <v>508282970200</v>
      </c>
      <c r="K464" s="242" t="n">
        <v>15218053</v>
      </c>
    </row>
    <row r="465">
      <c r="A465" s="408" t="n">
        <v>46077</v>
      </c>
      <c r="B465" s="242" t="n">
        <v>34300</v>
      </c>
      <c r="C465" s="242" t="n">
        <v>121610</v>
      </c>
      <c r="D465" s="242" t="n">
        <v>900</v>
      </c>
      <c r="E465" s="243" t="n">
        <v>2.69</v>
      </c>
      <c r="F465" s="242" t="n">
        <v>33200</v>
      </c>
      <c r="G465" s="242" t="n">
        <v>34500</v>
      </c>
      <c r="H465" s="242" t="n">
        <v>32800</v>
      </c>
      <c r="I465" s="242" t="n">
        <v>4102276650</v>
      </c>
      <c r="J465" s="242" t="n">
        <v>521979217900</v>
      </c>
      <c r="K465" s="242" t="n">
        <v>15218053</v>
      </c>
    </row>
    <row r="466">
      <c r="A466" s="408" t="n">
        <v>46078</v>
      </c>
      <c r="B466" s="242" t="n">
        <v>35000</v>
      </c>
      <c r="C466" s="242" t="n">
        <v>134130</v>
      </c>
      <c r="D466" s="242" t="n">
        <v>700</v>
      </c>
      <c r="E466" s="243" t="n">
        <v>2.04</v>
      </c>
      <c r="F466" s="242" t="n">
        <v>35050</v>
      </c>
      <c r="G466" s="242" t="n">
        <v>35150</v>
      </c>
      <c r="H466" s="242" t="n">
        <v>34150</v>
      </c>
      <c r="I466" s="242" t="n">
        <v>4672557675</v>
      </c>
      <c r="J466" s="242" t="n">
        <v>532631855000</v>
      </c>
      <c r="K466" s="242" t="n">
        <v>15218053</v>
      </c>
    </row>
    <row r="467">
      <c r="A467" s="408" t="n">
        <v>46079</v>
      </c>
      <c r="B467" s="242" t="n">
        <v>35200</v>
      </c>
      <c r="C467" s="242" t="n">
        <v>258775</v>
      </c>
      <c r="D467" s="242" t="n">
        <v>200</v>
      </c>
      <c r="E467" s="243" t="n">
        <v>0.57</v>
      </c>
      <c r="F467" s="242" t="n">
        <v>35650</v>
      </c>
      <c r="G467" s="242" t="n">
        <v>36500</v>
      </c>
      <c r="H467" s="242" t="n">
        <v>35100</v>
      </c>
      <c r="I467" s="242" t="n">
        <v>9273949375</v>
      </c>
      <c r="J467" s="242" t="n">
        <v>535675465600</v>
      </c>
      <c r="K467" s="242" t="n">
        <v>15218053</v>
      </c>
    </row>
    <row r="468">
      <c r="A468" s="408" t="n">
        <v>46080</v>
      </c>
      <c r="B468" s="242" t="n">
        <v>34450</v>
      </c>
      <c r="C468" s="242" t="n">
        <v>117128</v>
      </c>
      <c r="D468" s="242" t="n">
        <v>-750</v>
      </c>
      <c r="E468" s="243" t="n">
        <v>-2.13</v>
      </c>
      <c r="F468" s="242" t="n">
        <v>34900</v>
      </c>
      <c r="G468" s="242" t="n">
        <v>34950</v>
      </c>
      <c r="H468" s="242" t="n">
        <v>34050</v>
      </c>
      <c r="I468" s="242" t="n">
        <v>4036251200</v>
      </c>
      <c r="J468" s="242" t="n">
        <v>524261925850</v>
      </c>
      <c r="K468" s="242" t="n">
        <v>15218053</v>
      </c>
    </row>
    <row r="469">
      <c r="A469" s="408" t="n">
        <v>46084</v>
      </c>
      <c r="B469" s="242" t="n">
        <v>30800</v>
      </c>
      <c r="C469" s="242" t="n">
        <v>211558</v>
      </c>
      <c r="D469" s="242" t="n">
        <v>-3650</v>
      </c>
      <c r="E469" s="243" t="n">
        <v>-10.6</v>
      </c>
      <c r="F469" s="242" t="n">
        <v>33050</v>
      </c>
      <c r="G469" s="242" t="n">
        <v>33800</v>
      </c>
      <c r="H469" s="242" t="n">
        <v>30800</v>
      </c>
      <c r="I469" s="242" t="n">
        <v>6830555675</v>
      </c>
      <c r="J469" s="242" t="n">
        <v>468716032400</v>
      </c>
      <c r="K469" s="242" t="n">
        <v>15218053</v>
      </c>
    </row>
    <row r="470">
      <c r="A470" s="408" t="n">
        <v>46085</v>
      </c>
      <c r="B470" s="242" t="n">
        <v>25600</v>
      </c>
      <c r="C470" s="242" t="n">
        <v>307171</v>
      </c>
      <c r="D470" s="242" t="n">
        <v>-5200</v>
      </c>
      <c r="E470" s="243" t="n">
        <v>-16.88</v>
      </c>
      <c r="F470" s="242" t="n">
        <v>28000</v>
      </c>
      <c r="G470" s="242" t="n">
        <v>29200</v>
      </c>
      <c r="H470" s="242" t="n">
        <v>24800</v>
      </c>
      <c r="I470" s="242" t="n">
        <v>8287388425</v>
      </c>
      <c r="J470" s="242" t="n">
        <v>389582156800</v>
      </c>
      <c r="K470" s="242" t="n">
        <v>15218053</v>
      </c>
    </row>
    <row r="471">
      <c r="A471" s="408" t="n">
        <v>46086</v>
      </c>
      <c r="B471" s="242" t="n">
        <v>28100</v>
      </c>
      <c r="C471" s="242" t="n">
        <v>140210</v>
      </c>
      <c r="D471" s="242" t="n">
        <v>2500</v>
      </c>
      <c r="E471" s="243" t="n">
        <v>9.77</v>
      </c>
      <c r="F471" s="242" t="n">
        <v>27200</v>
      </c>
      <c r="G471" s="242" t="n">
        <v>28800</v>
      </c>
      <c r="H471" s="242" t="n">
        <v>27200</v>
      </c>
      <c r="I471" s="242" t="n">
        <v>3962650475</v>
      </c>
      <c r="J471" s="242" t="n">
        <v>427627289300</v>
      </c>
      <c r="K471" s="242" t="n">
        <v>15218053</v>
      </c>
    </row>
    <row r="472">
      <c r="A472" s="408" t="n">
        <v>46087</v>
      </c>
      <c r="B472" s="242" t="n">
        <v>29050</v>
      </c>
      <c r="C472" s="242" t="n">
        <v>144174</v>
      </c>
      <c r="D472" s="242" t="n">
        <v>950</v>
      </c>
      <c r="E472" s="243" t="n">
        <v>3.38</v>
      </c>
      <c r="F472" s="242" t="n">
        <v>28350</v>
      </c>
      <c r="G472" s="242" t="n">
        <v>30275</v>
      </c>
      <c r="H472" s="242" t="n">
        <v>27800</v>
      </c>
      <c r="I472" s="242" t="n">
        <v>4175680350</v>
      </c>
      <c r="J472" s="242" t="n">
        <v>442084439650</v>
      </c>
      <c r="K472" s="242" t="n">
        <v>15218053</v>
      </c>
    </row>
    <row r="473">
      <c r="A473" s="408" t="n">
        <v>46090</v>
      </c>
      <c r="B473" s="242" t="n">
        <v>26800</v>
      </c>
      <c r="C473" s="242" t="n">
        <v>120146</v>
      </c>
      <c r="D473" s="242" t="n">
        <v>-2250</v>
      </c>
      <c r="E473" s="243" t="n">
        <v>-7.75</v>
      </c>
      <c r="F473" s="242" t="n">
        <v>26800</v>
      </c>
      <c r="G473" s="242" t="n">
        <v>27600</v>
      </c>
      <c r="H473" s="242" t="n">
        <v>25550</v>
      </c>
      <c r="I473" s="242" t="n">
        <v>3178124900</v>
      </c>
      <c r="J473" s="242" t="n">
        <v>407843820400</v>
      </c>
      <c r="K473" s="242" t="n">
        <v>15218053</v>
      </c>
    </row>
    <row r="474">
      <c r="A474" s="408" t="n">
        <v>46091</v>
      </c>
      <c r="B474" s="242" t="n">
        <v>27900</v>
      </c>
      <c r="C474" s="242" t="n">
        <v>80162</v>
      </c>
      <c r="D474" s="242" t="n">
        <v>1100</v>
      </c>
      <c r="E474" s="243" t="n">
        <v>4.1</v>
      </c>
      <c r="F474" s="242" t="n">
        <v>28200</v>
      </c>
      <c r="G474" s="242" t="n">
        <v>28500</v>
      </c>
      <c r="H474" s="242" t="n">
        <v>27650</v>
      </c>
      <c r="I474" s="242" t="n">
        <v>2250233075</v>
      </c>
      <c r="J474" s="242" t="n">
        <v>424583678700</v>
      </c>
      <c r="K474" s="242" t="n">
        <v>15218053</v>
      </c>
    </row>
    <row r="475">
      <c r="A475" s="408" t="n">
        <v>46092</v>
      </c>
      <c r="B475" s="242" t="n">
        <v>29150</v>
      </c>
      <c r="C475" s="242" t="n">
        <v>112702</v>
      </c>
      <c r="D475" s="242" t="n">
        <v>1250</v>
      </c>
      <c r="E475" s="243" t="n">
        <v>4.48</v>
      </c>
      <c r="F475" s="242" t="n">
        <v>29150</v>
      </c>
      <c r="G475" s="242" t="n">
        <v>29700</v>
      </c>
      <c r="H475" s="242" t="n">
        <v>28500</v>
      </c>
      <c r="I475" s="242" t="n">
        <v>3280430425</v>
      </c>
      <c r="J475" s="242" t="n">
        <v>443606244950</v>
      </c>
      <c r="K475" s="242" t="n">
        <v>15218053</v>
      </c>
    </row>
    <row r="476">
      <c r="A476" s="408" t="n">
        <v>46093</v>
      </c>
      <c r="B476" s="242" t="n">
        <v>28700</v>
      </c>
      <c r="C476" s="242" t="n">
        <v>58833</v>
      </c>
      <c r="D476" s="242" t="n">
        <v>-450</v>
      </c>
      <c r="E476" s="243" t="n">
        <v>-1.54</v>
      </c>
      <c r="F476" s="242" t="n">
        <v>28700</v>
      </c>
      <c r="G476" s="242" t="n">
        <v>29000</v>
      </c>
      <c r="H476" s="242" t="n">
        <v>28100</v>
      </c>
      <c r="I476" s="242" t="n">
        <v>1679973425</v>
      </c>
      <c r="J476" s="242" t="n">
        <v>436758121100</v>
      </c>
      <c r="K476" s="242" t="n">
        <v>15218053</v>
      </c>
    </row>
    <row r="477">
      <c r="A477" s="408" t="n">
        <v>46094</v>
      </c>
      <c r="B477" s="242" t="n">
        <v>28250</v>
      </c>
      <c r="C477" s="242" t="n">
        <v>152111</v>
      </c>
      <c r="D477" s="242" t="n">
        <v>-450</v>
      </c>
      <c r="E477" s="243" t="n">
        <v>-1.57</v>
      </c>
      <c r="F477" s="242" t="n">
        <v>27700</v>
      </c>
      <c r="G477" s="242" t="n">
        <v>28800</v>
      </c>
      <c r="H477" s="242" t="n">
        <v>27100</v>
      </c>
      <c r="I477" s="242" t="n">
        <v>4307200800</v>
      </c>
      <c r="J477" s="242" t="n">
        <v>429909997250</v>
      </c>
      <c r="K477" s="242" t="n">
        <v>15218053</v>
      </c>
    </row>
    <row r="478">
      <c r="A478" s="408" t="n">
        <v>46097</v>
      </c>
      <c r="B478" s="242" t="n">
        <v>27400</v>
      </c>
      <c r="C478" s="242" t="n">
        <v>58411</v>
      </c>
      <c r="D478" s="242" t="n">
        <v>-850</v>
      </c>
      <c r="E478" s="243" t="n">
        <v>-3.01</v>
      </c>
      <c r="F478" s="242" t="n">
        <v>28000</v>
      </c>
      <c r="G478" s="242" t="n">
        <v>28450</v>
      </c>
      <c r="H478" s="242" t="n">
        <v>27100</v>
      </c>
      <c r="I478" s="242" t="n">
        <v>1615295650</v>
      </c>
      <c r="J478" s="242" t="n">
        <v>417771389400</v>
      </c>
      <c r="K478" s="242" t="n">
        <v>15247131</v>
      </c>
    </row>
    <row r="479">
      <c r="A479" s="408" t="n">
        <v>46098</v>
      </c>
      <c r="B479" s="242" t="n">
        <v>27700</v>
      </c>
      <c r="C479" s="242" t="n">
        <v>48313</v>
      </c>
      <c r="D479" s="242" t="n">
        <v>300</v>
      </c>
      <c r="E479" s="243" t="n">
        <v>1.09</v>
      </c>
      <c r="F479" s="242" t="n">
        <v>27950</v>
      </c>
      <c r="G479" s="242" t="n">
        <v>28450</v>
      </c>
      <c r="H479" s="242" t="n">
        <v>27650</v>
      </c>
      <c r="I479" s="242" t="n">
        <v>1354603700</v>
      </c>
      <c r="J479" s="242" t="n">
        <v>422345528700</v>
      </c>
      <c r="K479" s="242" t="n">
        <v>15247131</v>
      </c>
    </row>
    <row r="480">
      <c r="A480" s="408" t="n">
        <v>46099</v>
      </c>
      <c r="B480" s="242" t="n">
        <v>28300</v>
      </c>
      <c r="C480" s="242" t="n">
        <v>48327</v>
      </c>
      <c r="D480" s="242" t="n">
        <v>600</v>
      </c>
      <c r="E480" s="243" t="n">
        <v>2.17</v>
      </c>
      <c r="F480" s="242" t="n">
        <v>28050</v>
      </c>
      <c r="G480" s="242" t="n">
        <v>28700</v>
      </c>
      <c r="H480" s="242" t="n">
        <v>28050</v>
      </c>
      <c r="I480" s="242" t="n">
        <v>1364590350</v>
      </c>
      <c r="J480" s="242" t="n">
        <v>431493807300</v>
      </c>
      <c r="K480" s="242" t="n">
        <v>15247131</v>
      </c>
    </row>
    <row r="481">
      <c r="A481" s="408" t="n">
        <v>46100</v>
      </c>
      <c r="B481" s="242" t="n">
        <v>27550</v>
      </c>
      <c r="C481" s="242" t="n">
        <v>35956</v>
      </c>
      <c r="D481" s="242" t="n">
        <v>-750</v>
      </c>
      <c r="E481" s="243" t="n">
        <v>-2.65</v>
      </c>
      <c r="F481" s="242" t="n">
        <v>27700</v>
      </c>
      <c r="G481" s="242" t="n">
        <v>27850</v>
      </c>
      <c r="H481" s="242" t="n">
        <v>27400</v>
      </c>
      <c r="I481" s="242" t="n">
        <v>992547925</v>
      </c>
      <c r="J481" s="242" t="n">
        <v>420058459050</v>
      </c>
      <c r="K481" s="242" t="n">
        <v>15247131</v>
      </c>
    </row>
    <row r="482">
      <c r="A482" s="408" t="n">
        <v>46101</v>
      </c>
      <c r="B482" s="242" t="n">
        <v>27600</v>
      </c>
      <c r="C482" s="242" t="n">
        <v>44392</v>
      </c>
      <c r="D482" s="242" t="n">
        <v>50</v>
      </c>
      <c r="E482" s="243" t="n">
        <v>0.18</v>
      </c>
      <c r="F482" s="242" t="n">
        <v>27900</v>
      </c>
      <c r="G482" s="242" t="n">
        <v>27950</v>
      </c>
      <c r="H482" s="242" t="n">
        <v>27200</v>
      </c>
      <c r="I482" s="242" t="n">
        <v>1226362225</v>
      </c>
      <c r="J482" s="242" t="n">
        <v>420820815600</v>
      </c>
      <c r="K482" s="242" t="n">
        <v>15247131</v>
      </c>
    </row>
    <row r="483">
      <c r="A483" s="408" t="n">
        <v>46104</v>
      </c>
      <c r="B483" s="242" t="n">
        <v>25850</v>
      </c>
      <c r="C483" s="242" t="n">
        <v>72663</v>
      </c>
      <c r="D483" s="242" t="n">
        <v>-1750</v>
      </c>
      <c r="E483" s="243" t="n">
        <v>-6.34</v>
      </c>
      <c r="F483" s="242" t="n">
        <v>26500</v>
      </c>
      <c r="G483" s="242" t="n">
        <v>26750</v>
      </c>
      <c r="H483" s="242" t="n">
        <v>25850</v>
      </c>
      <c r="I483" s="242" t="n">
        <v>1902912625</v>
      </c>
      <c r="J483" s="242" t="n">
        <v>394138336350</v>
      </c>
      <c r="K483" s="242" t="n">
        <v>15247131</v>
      </c>
    </row>
    <row r="484">
      <c r="A484" s="408" t="n">
        <v>46105</v>
      </c>
      <c r="B484" s="242" t="n">
        <v>26650</v>
      </c>
      <c r="C484" s="242" t="n">
        <v>42561</v>
      </c>
      <c r="D484" s="242" t="n">
        <v>800</v>
      </c>
      <c r="E484" s="243" t="n">
        <v>3.09</v>
      </c>
      <c r="F484" s="242" t="n">
        <v>26800</v>
      </c>
      <c r="G484" s="242" t="n">
        <v>27000</v>
      </c>
      <c r="H484" s="242" t="n">
        <v>25600</v>
      </c>
      <c r="I484" s="242" t="n">
        <v>1115423775</v>
      </c>
      <c r="J484" s="242" t="n">
        <v>406336041150</v>
      </c>
      <c r="K484" s="242" t="n">
        <v>15247131</v>
      </c>
    </row>
    <row r="485">
      <c r="A485" s="408" t="n">
        <v>46106</v>
      </c>
      <c r="B485" s="242" t="n">
        <v>27650</v>
      </c>
      <c r="C485" s="242" t="n">
        <v>35821</v>
      </c>
      <c r="D485" s="242" t="n">
        <v>1000</v>
      </c>
      <c r="E485" s="243" t="n">
        <v>3.75</v>
      </c>
      <c r="F485" s="242" t="n">
        <v>27100</v>
      </c>
      <c r="G485" s="242" t="n">
        <v>27800</v>
      </c>
      <c r="H485" s="242" t="n">
        <v>26950</v>
      </c>
      <c r="I485" s="242" t="n">
        <v>983782950</v>
      </c>
      <c r="J485" s="242" t="n">
        <v>421583172150</v>
      </c>
      <c r="K485" s="242" t="n">
        <v>15247131</v>
      </c>
    </row>
    <row r="486">
      <c r="A486" s="408" t="n">
        <v>46107</v>
      </c>
      <c r="B486" s="242" t="n">
        <v>26700</v>
      </c>
      <c r="C486" s="242" t="n">
        <v>35232</v>
      </c>
      <c r="D486" s="242" t="n">
        <v>-950</v>
      </c>
      <c r="E486" s="243" t="n">
        <v>-3.44</v>
      </c>
      <c r="F486" s="242" t="n">
        <v>27700</v>
      </c>
      <c r="G486" s="242" t="n">
        <v>27700</v>
      </c>
      <c r="H486" s="242" t="n">
        <v>26500</v>
      </c>
      <c r="I486" s="242" t="n">
        <v>950390575</v>
      </c>
      <c r="J486" s="242" t="n">
        <v>407098397700</v>
      </c>
      <c r="K486" s="242" t="n">
        <v>15247131</v>
      </c>
    </row>
    <row r="487">
      <c r="A487" s="408" t="n">
        <v>46108</v>
      </c>
      <c r="B487" s="242" t="n">
        <v>26800</v>
      </c>
      <c r="C487" s="242" t="n">
        <v>41306</v>
      </c>
      <c r="D487" s="242" t="n">
        <v>100</v>
      </c>
      <c r="E487" s="243" t="n">
        <v>0.37</v>
      </c>
      <c r="F487" s="242" t="n">
        <v>25900</v>
      </c>
      <c r="G487" s="242" t="n">
        <v>26900</v>
      </c>
      <c r="H487" s="242" t="n">
        <v>25100</v>
      </c>
      <c r="I487" s="242" t="n">
        <v>1078248225</v>
      </c>
      <c r="J487" s="242" t="n">
        <v>408623110800</v>
      </c>
      <c r="K487" s="242" t="n">
        <v>15247131</v>
      </c>
    </row>
    <row r="488">
      <c r="A488" s="408" t="n">
        <v>46111</v>
      </c>
      <c r="B488" s="242" t="n">
        <v>25700</v>
      </c>
      <c r="C488" s="242" t="n">
        <v>32667</v>
      </c>
      <c r="D488" s="242" t="n">
        <v>-1100</v>
      </c>
      <c r="E488" s="243" t="n">
        <v>-4.1</v>
      </c>
      <c r="F488" s="242" t="n">
        <v>25550</v>
      </c>
      <c r="G488" s="242" t="n">
        <v>26150</v>
      </c>
      <c r="H488" s="242" t="n">
        <v>25300</v>
      </c>
      <c r="I488" s="242" t="n">
        <v>837870625</v>
      </c>
      <c r="J488" s="242" t="n">
        <v>391851266700</v>
      </c>
      <c r="K488" s="242" t="n">
        <v>15247131</v>
      </c>
    </row>
    <row r="489">
      <c r="A489" s="408" t="n">
        <v>46112</v>
      </c>
      <c r="B489" s="242" t="n">
        <v>24800</v>
      </c>
      <c r="C489" s="242" t="n">
        <v>54626</v>
      </c>
      <c r="D489" s="242" t="n">
        <v>-900</v>
      </c>
      <c r="E489" s="243" t="n">
        <v>-3.5</v>
      </c>
      <c r="F489" s="242" t="n">
        <v>25750</v>
      </c>
      <c r="G489" s="242" t="n">
        <v>26000</v>
      </c>
      <c r="H489" s="242" t="n">
        <v>24800</v>
      </c>
      <c r="I489" s="242" t="n">
        <v>1383642200</v>
      </c>
      <c r="J489" s="242" t="n">
        <v>378128848800</v>
      </c>
      <c r="K489" s="242" t="n">
        <v>15247131</v>
      </c>
    </row>
    <row r="490">
      <c r="A490" s="408" t="n">
        <v>46113</v>
      </c>
      <c r="B490" s="242" t="n">
        <v>26600</v>
      </c>
      <c r="C490" s="242" t="n">
        <v>47970</v>
      </c>
      <c r="D490" s="242" t="n">
        <v>1800</v>
      </c>
      <c r="E490" s="243" t="n">
        <v>7.26</v>
      </c>
      <c r="F490" s="242" t="n">
        <v>25550</v>
      </c>
      <c r="G490" s="242" t="n">
        <v>26950</v>
      </c>
      <c r="H490" s="242" t="n">
        <v>25550</v>
      </c>
      <c r="I490" s="242" t="n">
        <v>1264050450</v>
      </c>
      <c r="J490" s="242" t="n">
        <v>405573684600</v>
      </c>
      <c r="K490" s="242" t="n">
        <v>15247131</v>
      </c>
    </row>
    <row r="491">
      <c r="A491" s="408" t="n">
        <v>46114</v>
      </c>
      <c r="B491" s="242" t="n">
        <v>25700</v>
      </c>
      <c r="C491" s="242" t="n">
        <v>95398</v>
      </c>
      <c r="D491" s="242" t="n">
        <v>-900</v>
      </c>
      <c r="E491" s="243" t="n">
        <v>-3.38</v>
      </c>
      <c r="F491" s="242" t="n">
        <v>28050</v>
      </c>
      <c r="G491" s="242" t="n">
        <v>28050</v>
      </c>
      <c r="H491" s="242" t="n">
        <v>25300</v>
      </c>
      <c r="I491" s="242" t="n">
        <v>2560999075</v>
      </c>
      <c r="J491" s="242" t="n">
        <v>391851266700</v>
      </c>
      <c r="K491" s="242" t="n">
        <v>15247131</v>
      </c>
    </row>
    <row r="492">
      <c r="A492" s="408" t="n">
        <v>46115</v>
      </c>
      <c r="B492" s="242" t="n">
        <v>25700</v>
      </c>
      <c r="C492" s="242" t="n">
        <v>35271</v>
      </c>
      <c r="D492" s="242" t="n">
        <v>0</v>
      </c>
      <c r="E492" s="243" t="n">
        <v>0</v>
      </c>
      <c r="F492" s="242" t="n">
        <v>26400</v>
      </c>
      <c r="G492" s="242" t="n">
        <v>26700</v>
      </c>
      <c r="H492" s="242" t="n">
        <v>25400</v>
      </c>
      <c r="I492" s="242" t="n">
        <v>911056975</v>
      </c>
      <c r="J492" s="242" t="n">
        <v>391851266700</v>
      </c>
      <c r="K492" s="242" t="n">
        <v>15247131</v>
      </c>
    </row>
    <row r="493">
      <c r="A493" s="408" t="n">
        <v>46118</v>
      </c>
      <c r="B493" s="242" t="n">
        <v>25300</v>
      </c>
      <c r="C493" s="242" t="n">
        <v>28306</v>
      </c>
      <c r="D493" s="242" t="n">
        <v>-400</v>
      </c>
      <c r="E493" s="243" t="n">
        <v>-1.56</v>
      </c>
      <c r="F493" s="242" t="n">
        <v>25800</v>
      </c>
      <c r="G493" s="242" t="n">
        <v>25800</v>
      </c>
      <c r="H493" s="242" t="n">
        <v>25150</v>
      </c>
      <c r="I493" s="242" t="n">
        <v>719674650</v>
      </c>
      <c r="J493" s="242" t="n">
        <v>385752414300</v>
      </c>
      <c r="K493" s="242" t="n">
        <v>15247131</v>
      </c>
    </row>
    <row r="494">
      <c r="A494" s="408" t="n">
        <v>46119</v>
      </c>
      <c r="B494" s="242" t="n">
        <v>25400</v>
      </c>
      <c r="C494" s="242" t="n">
        <v>29406</v>
      </c>
      <c r="D494" s="242" t="n">
        <v>100</v>
      </c>
      <c r="E494" s="243" t="n">
        <v>0.4</v>
      </c>
      <c r="F494" s="242" t="n">
        <v>26000</v>
      </c>
      <c r="G494" s="242" t="n">
        <v>26150</v>
      </c>
      <c r="H494" s="242" t="n">
        <v>25100</v>
      </c>
      <c r="I494" s="242" t="n">
        <v>751308325</v>
      </c>
      <c r="J494" s="242" t="n">
        <v>387277127400</v>
      </c>
      <c r="K494" s="242" t="n">
        <v>15247131</v>
      </c>
    </row>
    <row r="495">
      <c r="A495" s="408" t="n">
        <v>46120</v>
      </c>
      <c r="B495" s="242" t="n">
        <v>27250</v>
      </c>
      <c r="C495" s="242" t="n">
        <v>51646</v>
      </c>
      <c r="D495" s="242" t="n">
        <v>1850</v>
      </c>
      <c r="E495" s="243" t="n">
        <v>7.28</v>
      </c>
      <c r="F495" s="242" t="n">
        <v>26450</v>
      </c>
      <c r="G495" s="242" t="n">
        <v>27250</v>
      </c>
      <c r="H495" s="242" t="n">
        <v>26300</v>
      </c>
      <c r="I495" s="242" t="n">
        <v>1383087575</v>
      </c>
      <c r="J495" s="242" t="n">
        <v>415484319750</v>
      </c>
      <c r="K495" s="242" t="n">
        <v>15247131</v>
      </c>
    </row>
    <row r="496">
      <c r="A496" s="408" t="n">
        <v>46121</v>
      </c>
      <c r="B496" s="242" t="n">
        <v>28000</v>
      </c>
      <c r="C496" s="242" t="n">
        <v>123390</v>
      </c>
      <c r="D496" s="242" t="n">
        <v>750</v>
      </c>
      <c r="E496" s="243" t="n">
        <v>2.75</v>
      </c>
      <c r="F496" s="242" t="n">
        <v>26950</v>
      </c>
      <c r="G496" s="242" t="n">
        <v>28200</v>
      </c>
      <c r="H496" s="242" t="n">
        <v>26350</v>
      </c>
      <c r="I496" s="242" t="n">
        <v>3424330400</v>
      </c>
      <c r="J496" s="242" t="n">
        <v>426919668000</v>
      </c>
      <c r="K496" s="242" t="n">
        <v>15247131</v>
      </c>
    </row>
    <row r="497">
      <c r="A497" s="408" t="n">
        <v>46122</v>
      </c>
      <c r="B497" s="242" t="n">
        <v>27400</v>
      </c>
      <c r="C497" s="242" t="n">
        <v>43203</v>
      </c>
      <c r="D497" s="242" t="n">
        <v>-600</v>
      </c>
      <c r="E497" s="243" t="n">
        <v>-2.14</v>
      </c>
      <c r="F497" s="242" t="n">
        <v>28200</v>
      </c>
      <c r="G497" s="242" t="n">
        <v>28300</v>
      </c>
      <c r="H497" s="242" t="n">
        <v>27150</v>
      </c>
      <c r="I497" s="242" t="n">
        <v>1183272075</v>
      </c>
      <c r="J497" s="242" t="n">
        <v>417771389400</v>
      </c>
      <c r="K497" s="242" t="n">
        <v>15247131</v>
      </c>
    </row>
    <row r="498">
      <c r="A498" s="408" t="n">
        <v>46125</v>
      </c>
      <c r="B498" s="242" t="n">
        <v>26650</v>
      </c>
      <c r="C498" s="242" t="n">
        <v>22933</v>
      </c>
      <c r="D498" s="242" t="n">
        <v>-750</v>
      </c>
      <c r="E498" s="243" t="n">
        <v>-2.74</v>
      </c>
      <c r="F498" s="242" t="n">
        <v>26550</v>
      </c>
      <c r="G498" s="242" t="n">
        <v>26800</v>
      </c>
      <c r="H498" s="242" t="n">
        <v>26400</v>
      </c>
      <c r="I498" s="242" t="n">
        <v>609663525</v>
      </c>
      <c r="J498" s="242" t="n">
        <v>406336041150</v>
      </c>
      <c r="K498" s="242" t="n">
        <v>15247131</v>
      </c>
    </row>
    <row r="499">
      <c r="A499" s="408" t="n">
        <v>46126</v>
      </c>
      <c r="B499" s="242" t="n">
        <v>27650</v>
      </c>
      <c r="C499" s="242" t="n">
        <v>48333</v>
      </c>
      <c r="D499" s="242" t="n">
        <v>1000</v>
      </c>
      <c r="E499" s="243" t="n">
        <v>3.75</v>
      </c>
      <c r="F499" s="242" t="n">
        <v>27250</v>
      </c>
      <c r="G499" s="242" t="n">
        <v>27750</v>
      </c>
      <c r="H499" s="242" t="n">
        <v>27050</v>
      </c>
      <c r="I499" s="242" t="n">
        <v>1328843500</v>
      </c>
      <c r="J499" s="242" t="n">
        <v>421583172150</v>
      </c>
      <c r="K499" s="242" t="n">
        <v>15247131</v>
      </c>
    </row>
    <row r="500">
      <c r="A500" s="408" t="n">
        <v>46127</v>
      </c>
      <c r="B500" s="242" t="n">
        <v>28300</v>
      </c>
      <c r="C500" s="242" t="n">
        <v>50851</v>
      </c>
      <c r="D500" s="242" t="n">
        <v>650</v>
      </c>
      <c r="E500" s="243" t="n">
        <v>2.35</v>
      </c>
      <c r="F500" s="242" t="n">
        <v>28300</v>
      </c>
      <c r="G500" s="242" t="n">
        <v>28350</v>
      </c>
      <c r="H500" s="242" t="n">
        <v>27900</v>
      </c>
      <c r="I500" s="242" t="n">
        <v>1429829475</v>
      </c>
      <c r="J500" s="242" t="n">
        <v>431493807300</v>
      </c>
      <c r="K500" s="242" t="n">
        <v>15247131</v>
      </c>
    </row>
    <row r="501">
      <c r="A501" s="408" t="n">
        <v>46128</v>
      </c>
      <c r="B501" s="242" t="n">
        <v>28800</v>
      </c>
      <c r="C501" s="242" t="n">
        <v>56430</v>
      </c>
      <c r="D501" s="242" t="n">
        <v>500</v>
      </c>
      <c r="E501" s="243" t="n">
        <v>1.77</v>
      </c>
      <c r="F501" s="242" t="n">
        <v>28800</v>
      </c>
      <c r="G501" s="242" t="n">
        <v>29150</v>
      </c>
      <c r="H501" s="242" t="n">
        <v>28500</v>
      </c>
      <c r="I501" s="242" t="n">
        <v>1623831500</v>
      </c>
      <c r="J501" s="242" t="n">
        <v>439117372800</v>
      </c>
      <c r="K501" s="242" t="n">
        <v>15247131</v>
      </c>
    </row>
    <row r="502">
      <c r="A502" s="408" t="n">
        <v>46129</v>
      </c>
      <c r="B502" s="242" t="n">
        <v>29150</v>
      </c>
      <c r="C502" s="242" t="n">
        <v>47757</v>
      </c>
      <c r="D502" s="242" t="n">
        <v>350</v>
      </c>
      <c r="E502" s="243" t="n">
        <v>1.22</v>
      </c>
      <c r="F502" s="242" t="n">
        <v>29600</v>
      </c>
      <c r="G502" s="242" t="n">
        <v>29600</v>
      </c>
      <c r="H502" s="242" t="n">
        <v>28800</v>
      </c>
      <c r="I502" s="242" t="n">
        <v>1386890175</v>
      </c>
      <c r="J502" s="242" t="n">
        <v>444453868650</v>
      </c>
      <c r="K502" s="242" t="n">
        <v>15247131</v>
      </c>
    </row>
    <row r="503">
      <c r="A503" s="408" t="n">
        <v>46132</v>
      </c>
      <c r="B503" s="242" t="n">
        <v>28700</v>
      </c>
      <c r="C503" s="242" t="n">
        <v>32495</v>
      </c>
      <c r="D503" s="242" t="n">
        <v>-450</v>
      </c>
      <c r="E503" s="243" t="n">
        <v>-1.54</v>
      </c>
      <c r="F503" s="242" t="n">
        <v>28750</v>
      </c>
      <c r="G503" s="242" t="n">
        <v>29300</v>
      </c>
      <c r="H503" s="242" t="n">
        <v>28550</v>
      </c>
      <c r="I503" s="242" t="n">
        <v>940173275</v>
      </c>
      <c r="J503" s="242" t="n">
        <v>437592659700</v>
      </c>
      <c r="K503" s="242" t="n">
        <v>15247131</v>
      </c>
    </row>
    <row r="504">
      <c r="A504" s="408" t="n">
        <v>46133</v>
      </c>
      <c r="B504" s="242" t="n">
        <v>28850</v>
      </c>
      <c r="C504" s="242" t="n">
        <v>31375</v>
      </c>
      <c r="D504" s="242" t="n">
        <v>150</v>
      </c>
      <c r="E504" s="243" t="n">
        <v>0.52</v>
      </c>
      <c r="F504" s="242" t="n">
        <v>29050</v>
      </c>
      <c r="G504" s="242" t="n">
        <v>29150</v>
      </c>
      <c r="H504" s="242" t="n">
        <v>28650</v>
      </c>
      <c r="I504" s="242" t="n">
        <v>903779875</v>
      </c>
      <c r="J504" s="242" t="n">
        <v>439879729350</v>
      </c>
      <c r="K504" s="242" t="n">
        <v>15247131</v>
      </c>
    </row>
    <row r="505">
      <c r="A505" s="408" t="n">
        <v>46134</v>
      </c>
      <c r="B505" s="242" t="n">
        <v>28900</v>
      </c>
      <c r="C505" s="242" t="n">
        <v>32668</v>
      </c>
      <c r="D505" s="242" t="n">
        <v>50</v>
      </c>
      <c r="E505" s="243" t="n">
        <v>0.17</v>
      </c>
      <c r="F505" s="242" t="n">
        <v>28800</v>
      </c>
      <c r="G505" s="242" t="n">
        <v>28950</v>
      </c>
      <c r="H505" s="242" t="n">
        <v>28150</v>
      </c>
      <c r="I505" s="242" t="n">
        <v>933713600</v>
      </c>
      <c r="J505" s="242" t="n">
        <v>440642085900</v>
      </c>
      <c r="K505" s="242" t="n">
        <v>15247131</v>
      </c>
    </row>
    <row r="506">
      <c r="A506" s="408" t="n">
        <v>46135</v>
      </c>
      <c r="B506" s="242" t="n">
        <v>28650</v>
      </c>
      <c r="C506" s="242" t="n">
        <v>39579</v>
      </c>
      <c r="D506" s="242" t="n">
        <v>-250</v>
      </c>
      <c r="E506" s="243" t="n">
        <v>-0.87</v>
      </c>
      <c r="F506" s="242" t="n">
        <v>29500</v>
      </c>
      <c r="G506" s="242" t="n">
        <v>29500</v>
      </c>
      <c r="H506" s="242" t="n">
        <v>28250</v>
      </c>
      <c r="I506" s="242" t="n">
        <v>1139144000</v>
      </c>
      <c r="J506" s="242" t="n">
        <v>436830303150</v>
      </c>
      <c r="K506" s="242" t="n">
        <v>15247131</v>
      </c>
    </row>
    <row r="507">
      <c r="A507" s="408" t="n">
        <v>46136</v>
      </c>
      <c r="B507" s="242" t="n">
        <v>29050</v>
      </c>
      <c r="C507" s="242" t="n">
        <v>58103</v>
      </c>
      <c r="D507" s="242" t="n">
        <v>400</v>
      </c>
      <c r="E507" s="243" t="n">
        <v>1.4</v>
      </c>
      <c r="F507" s="242" t="n">
        <v>28500</v>
      </c>
      <c r="G507" s="242" t="n">
        <v>29600</v>
      </c>
      <c r="H507" s="242" t="n">
        <v>28200</v>
      </c>
      <c r="I507" s="242" t="n">
        <v>1683019500</v>
      </c>
      <c r="J507" s="242" t="n">
        <v>442929155550</v>
      </c>
      <c r="K507" s="242" t="n">
        <v>15247131</v>
      </c>
    </row>
    <row r="508">
      <c r="A508" s="408" t="n">
        <v>46139</v>
      </c>
      <c r="B508" s="242" t="n">
        <v>30050</v>
      </c>
      <c r="C508" s="242" t="n">
        <v>136839</v>
      </c>
      <c r="D508" s="242" t="n">
        <v>1000</v>
      </c>
      <c r="E508" s="243" t="n">
        <v>3.44</v>
      </c>
      <c r="F508" s="242" t="n">
        <v>29650</v>
      </c>
      <c r="G508" s="242" t="n">
        <v>30250</v>
      </c>
      <c r="H508" s="242" t="n">
        <v>29250</v>
      </c>
      <c r="I508" s="242" t="n">
        <v>4093272750</v>
      </c>
      <c r="J508" s="242" t="n">
        <v>458176286550</v>
      </c>
      <c r="K508" s="242" t="n">
        <v>15247131</v>
      </c>
    </row>
    <row r="509">
      <c r="A509" s="408" t="n">
        <v>46140</v>
      </c>
      <c r="B509" s="242" t="n">
        <v>29900</v>
      </c>
      <c r="C509" s="242" t="n">
        <v>80964</v>
      </c>
      <c r="D509" s="242" t="n">
        <v>-150</v>
      </c>
      <c r="E509" s="243" t="n">
        <v>-0.5</v>
      </c>
      <c r="F509" s="242" t="n">
        <v>30800</v>
      </c>
      <c r="G509" s="242" t="n">
        <v>30950</v>
      </c>
      <c r="H509" s="242" t="n">
        <v>29650</v>
      </c>
      <c r="I509" s="242" t="n">
        <v>2438565750</v>
      </c>
      <c r="J509" s="242" t="n">
        <v>455889216900</v>
      </c>
      <c r="K509" s="242" t="n">
        <v>15247131</v>
      </c>
    </row>
    <row r="510">
      <c r="A510" s="408" t="n">
        <v>46141</v>
      </c>
      <c r="B510" s="242" t="n">
        <v>30350</v>
      </c>
      <c r="C510" s="242" t="n">
        <v>75759</v>
      </c>
      <c r="D510" s="242" t="n">
        <v>450</v>
      </c>
      <c r="E510" s="243" t="n">
        <v>1.51</v>
      </c>
      <c r="F510" s="242" t="n">
        <v>30400</v>
      </c>
      <c r="G510" s="242" t="n">
        <v>30600</v>
      </c>
      <c r="H510" s="242" t="n">
        <v>29900</v>
      </c>
      <c r="I510" s="242" t="n">
        <v>2291132900</v>
      </c>
      <c r="J510" s="242" t="n">
        <v>462750425850</v>
      </c>
      <c r="K510" s="242" t="n">
        <v>15247131</v>
      </c>
    </row>
    <row r="511">
      <c r="A511" s="408" t="n">
        <v>46142</v>
      </c>
      <c r="B511" s="242" t="n">
        <v>30350</v>
      </c>
      <c r="C511" s="242" t="n">
        <v>169971</v>
      </c>
      <c r="D511" s="242" t="n">
        <v>0</v>
      </c>
      <c r="E511" s="243" t="n">
        <v>0</v>
      </c>
      <c r="F511" s="242" t="n">
        <v>32050</v>
      </c>
      <c r="G511" s="242" t="n">
        <v>32200</v>
      </c>
      <c r="H511" s="242" t="n">
        <v>30000</v>
      </c>
      <c r="I511" s="242" t="n">
        <v>5243939875</v>
      </c>
      <c r="J511" s="242" t="n">
        <v>462750425850</v>
      </c>
      <c r="K511" s="242" t="n">
        <v>15247131</v>
      </c>
    </row>
    <row r="512">
      <c r="A512" s="408" t="n">
        <v>46146</v>
      </c>
      <c r="B512" s="242" t="n">
        <v>30200</v>
      </c>
      <c r="C512" s="242" t="n">
        <v>68064</v>
      </c>
      <c r="D512" s="242" t="n">
        <v>-150</v>
      </c>
      <c r="E512" s="243" t="n">
        <v>-0.49</v>
      </c>
      <c r="F512" s="242" t="n">
        <v>31100</v>
      </c>
      <c r="G512" s="242" t="n">
        <v>31100</v>
      </c>
      <c r="H512" s="242" t="n">
        <v>30000</v>
      </c>
      <c r="I512" s="242" t="n">
        <v>2067753800</v>
      </c>
      <c r="J512" s="242" t="n">
        <v>460463356200</v>
      </c>
      <c r="K512" s="242" t="n">
        <v>15247131</v>
      </c>
    </row>
    <row r="513">
      <c r="A513" s="408" t="n">
        <v>46148</v>
      </c>
      <c r="B513" s="242" t="n">
        <v>29150</v>
      </c>
      <c r="C513" s="242" t="n">
        <v>91661</v>
      </c>
      <c r="D513" s="242" t="n">
        <v>-1050</v>
      </c>
      <c r="E513" s="243" t="n">
        <v>-3.48</v>
      </c>
      <c r="F513" s="242" t="n">
        <v>30050</v>
      </c>
      <c r="G513" s="242" t="n">
        <v>30050</v>
      </c>
      <c r="H513" s="242" t="n">
        <v>29000</v>
      </c>
      <c r="I513" s="242" t="n">
        <v>2680070625</v>
      </c>
      <c r="J513" s="242" t="n">
        <v>444453868650</v>
      </c>
      <c r="K513" s="242" t="n">
        <v>15247131</v>
      </c>
    </row>
    <row r="514">
      <c r="A514" s="408" t="n">
        <v>46149</v>
      </c>
      <c r="B514" s="242" t="n">
        <v>28500</v>
      </c>
      <c r="C514" s="242" t="n">
        <v>54359</v>
      </c>
      <c r="D514" s="242" t="n">
        <v>-650</v>
      </c>
      <c r="E514" s="243" t="n">
        <v>-2.23</v>
      </c>
      <c r="F514" s="242" t="n">
        <v>29150</v>
      </c>
      <c r="G514" s="242" t="n">
        <v>29250</v>
      </c>
      <c r="H514" s="242" t="n">
        <v>28200</v>
      </c>
      <c r="I514" s="242" t="n">
        <v>1552597800</v>
      </c>
      <c r="J514" s="242" t="n">
        <v>434543233500</v>
      </c>
      <c r="K514" s="242" t="n">
        <v>15247131</v>
      </c>
    </row>
    <row r="515">
      <c r="A515" s="408" t="n">
        <v>46150</v>
      </c>
      <c r="B515" s="242" t="n">
        <v>29000</v>
      </c>
      <c r="C515" s="242" t="n">
        <v>106633</v>
      </c>
      <c r="D515" s="242" t="n">
        <v>500</v>
      </c>
      <c r="E515" s="243" t="n">
        <v>1.75</v>
      </c>
      <c r="F515" s="242" t="n">
        <v>29450</v>
      </c>
      <c r="G515" s="242" t="n">
        <v>29950</v>
      </c>
      <c r="H515" s="242" t="n">
        <v>28800</v>
      </c>
      <c r="I515" s="242" t="n">
        <v>3121419150</v>
      </c>
      <c r="J515" s="242" t="n">
        <v>442166799000</v>
      </c>
      <c r="K515" s="242" t="n">
        <v>15247131</v>
      </c>
    </row>
    <row r="516">
      <c r="A516" s="408" t="n">
        <v>46153</v>
      </c>
      <c r="B516" s="242" t="n">
        <v>28500</v>
      </c>
      <c r="C516" s="242" t="n">
        <v>89846</v>
      </c>
      <c r="D516" s="242" t="n">
        <v>-500</v>
      </c>
      <c r="E516" s="243" t="n">
        <v>-1.72</v>
      </c>
      <c r="F516" s="242" t="n">
        <v>29300</v>
      </c>
      <c r="G516" s="242" t="n">
        <v>29350</v>
      </c>
      <c r="H516" s="242" t="n">
        <v>28000</v>
      </c>
      <c r="I516" s="242" t="n">
        <v>2578169900</v>
      </c>
      <c r="J516" s="242" t="n">
        <v>434543233500</v>
      </c>
      <c r="K516" s="242" t="n">
        <v>15247131</v>
      </c>
    </row>
    <row r="517">
      <c r="A517" s="408" t="n">
        <v>46154</v>
      </c>
      <c r="B517" s="242" t="n">
        <v>28250</v>
      </c>
      <c r="C517" s="242" t="n">
        <v>177469</v>
      </c>
      <c r="D517" s="242" t="n">
        <v>-250</v>
      </c>
      <c r="E517" s="243" t="n">
        <v>-0.88</v>
      </c>
      <c r="F517" s="242" t="n">
        <v>29200</v>
      </c>
      <c r="G517" s="242" t="n">
        <v>30250</v>
      </c>
      <c r="H517" s="242" t="n">
        <v>27450</v>
      </c>
      <c r="I517" s="242" t="n">
        <v>5159606100</v>
      </c>
      <c r="J517" s="242" t="n">
        <v>430731450750</v>
      </c>
      <c r="K517" s="242" t="n">
        <v>15247131</v>
      </c>
    </row>
    <row r="518">
      <c r="A518" s="408" t="n">
        <v>46155</v>
      </c>
      <c r="B518" s="242" t="n">
        <v>29000</v>
      </c>
      <c r="C518" s="242" t="n">
        <v>81658</v>
      </c>
      <c r="D518" s="242" t="n">
        <v>750</v>
      </c>
      <c r="E518" s="243" t="n">
        <v>2.65</v>
      </c>
      <c r="F518" s="242" t="n">
        <v>28750</v>
      </c>
      <c r="G518" s="242" t="n">
        <v>29650</v>
      </c>
      <c r="H518" s="242" t="n">
        <v>28000</v>
      </c>
      <c r="I518" s="242" t="n">
        <v>2357173600</v>
      </c>
      <c r="J518" s="242" t="n">
        <v>442166799000</v>
      </c>
      <c r="K518" s="242" t="n">
        <v>15247131</v>
      </c>
    </row>
    <row r="519">
      <c r="A519" s="408" t="n">
        <v>46156</v>
      </c>
      <c r="B519" s="242" t="n">
        <v>29950</v>
      </c>
      <c r="C519" s="242" t="n">
        <v>125737</v>
      </c>
      <c r="D519" s="242" t="n">
        <v>950</v>
      </c>
      <c r="E519" s="243" t="n">
        <v>3.28</v>
      </c>
      <c r="F519" s="242" t="n">
        <v>30050</v>
      </c>
      <c r="G519" s="242" t="n">
        <v>30475</v>
      </c>
      <c r="H519" s="242" t="n">
        <v>29100</v>
      </c>
      <c r="I519" s="242" t="n">
        <v>3732682300</v>
      </c>
      <c r="J519" s="242" t="n">
        <v>456651573450</v>
      </c>
      <c r="K519" s="242" t="n">
        <v>15247131</v>
      </c>
    </row>
    <row r="520">
      <c r="A520" s="408" t="n">
        <v>46157</v>
      </c>
      <c r="B520" s="242" t="n">
        <v>29750</v>
      </c>
      <c r="C520" s="242" t="n">
        <v>351946</v>
      </c>
      <c r="D520" s="242" t="n">
        <v>-200</v>
      </c>
      <c r="E520" s="243" t="n">
        <v>-0.67</v>
      </c>
      <c r="F520" s="242" t="n">
        <v>30700</v>
      </c>
      <c r="G520" s="242" t="n">
        <v>31800</v>
      </c>
      <c r="H520" s="242" t="n">
        <v>28800</v>
      </c>
      <c r="I520" s="242" t="n">
        <v>10834110325</v>
      </c>
      <c r="J520" s="242" t="n">
        <v>453602147250</v>
      </c>
      <c r="K520" s="242" t="n">
        <v>15247131</v>
      </c>
    </row>
    <row r="521">
      <c r="A521" s="408" t="n">
        <v>46160</v>
      </c>
      <c r="B521" s="242" t="n">
        <v>29000</v>
      </c>
      <c r="C521" s="242" t="n">
        <v>99966</v>
      </c>
      <c r="D521" s="242" t="n">
        <v>-750</v>
      </c>
      <c r="E521" s="243" t="n">
        <v>-2.52</v>
      </c>
      <c r="F521" s="242" t="n">
        <v>30350</v>
      </c>
      <c r="G521" s="242" t="n">
        <v>30500</v>
      </c>
      <c r="H521" s="242" t="n">
        <v>28300</v>
      </c>
      <c r="I521" s="242" t="n">
        <v>2919061425</v>
      </c>
      <c r="J521" s="242" t="n">
        <v>443753099000</v>
      </c>
      <c r="K521" s="242" t="n">
        <v>15301831</v>
      </c>
    </row>
    <row r="522">
      <c r="A522" s="408" t="n">
        <v>46161</v>
      </c>
      <c r="B522" s="242" t="n">
        <v>26800</v>
      </c>
      <c r="C522" s="242" t="n">
        <v>96065</v>
      </c>
      <c r="D522" s="242" t="n">
        <v>-2200</v>
      </c>
      <c r="E522" s="243" t="n">
        <v>-7.59</v>
      </c>
      <c r="F522" s="242" t="n">
        <v>28350</v>
      </c>
      <c r="G522" s="242" t="n">
        <v>28650</v>
      </c>
      <c r="H522" s="242" t="n">
        <v>26250</v>
      </c>
      <c r="I522" s="242" t="n">
        <v>2597026150</v>
      </c>
      <c r="J522" s="242" t="n">
        <v>410089070800</v>
      </c>
      <c r="K522" s="242" t="n">
        <v>15301831</v>
      </c>
    </row>
    <row r="523">
      <c r="A523" s="408" t="n">
        <v>46162</v>
      </c>
      <c r="B523" s="242" t="n">
        <v>25200</v>
      </c>
      <c r="C523" s="242" t="n">
        <v>79131</v>
      </c>
      <c r="D523" s="242" t="n">
        <v>-1600</v>
      </c>
      <c r="E523" s="243" t="n">
        <v>-5.97</v>
      </c>
      <c r="F523" s="242" t="n">
        <v>26450</v>
      </c>
      <c r="G523" s="242" t="n">
        <v>26500</v>
      </c>
      <c r="H523" s="242" t="n">
        <v>24600</v>
      </c>
      <c r="I523" s="242" t="n">
        <v>1985447150</v>
      </c>
      <c r="J523" s="242" t="n">
        <v>385606141200</v>
      </c>
      <c r="K523" s="242" t="n">
        <v>15301831</v>
      </c>
    </row>
    <row r="524">
      <c r="A524" s="408" t="n">
        <v>46163</v>
      </c>
      <c r="B524" s="242" t="n">
        <v>27850</v>
      </c>
      <c r="C524" s="242" t="n">
        <v>81704</v>
      </c>
      <c r="D524" s="242" t="n">
        <v>2650</v>
      </c>
      <c r="E524" s="243" t="n">
        <v>10.52</v>
      </c>
      <c r="F524" s="242" t="n">
        <v>25750</v>
      </c>
      <c r="G524" s="242" t="n">
        <v>28400</v>
      </c>
      <c r="H524" s="242" t="n">
        <v>25750</v>
      </c>
      <c r="I524" s="242" t="n">
        <v>2234782600</v>
      </c>
      <c r="J524" s="242" t="n">
        <v>426155993350</v>
      </c>
      <c r="K524" s="242" t="n">
        <v>15301831</v>
      </c>
    </row>
    <row r="525">
      <c r="A525" s="408" t="n">
        <v>46164</v>
      </c>
      <c r="B525" s="242" t="n">
        <v>28100</v>
      </c>
      <c r="C525" s="242" t="n">
        <v>57803</v>
      </c>
      <c r="D525" s="242" t="n">
        <v>250</v>
      </c>
      <c r="E525" s="243" t="n">
        <v>0.9</v>
      </c>
      <c r="F525" s="242" t="n">
        <v>28400</v>
      </c>
      <c r="G525" s="242" t="n">
        <v>28850</v>
      </c>
      <c r="H525" s="242" t="n">
        <v>27400</v>
      </c>
      <c r="I525" s="242" t="n">
        <v>1622476750</v>
      </c>
      <c r="J525" s="242" t="n">
        <v>429981451100</v>
      </c>
      <c r="K525" s="242" t="n">
        <v>15301831</v>
      </c>
    </row>
    <row r="526">
      <c r="A526" s="408" t="n">
        <v>46168</v>
      </c>
      <c r="B526" s="242" t="n">
        <v>27400</v>
      </c>
      <c r="C526" s="242" t="n">
        <v>64316</v>
      </c>
      <c r="D526" s="242" t="n">
        <v>-700</v>
      </c>
      <c r="E526" s="243" t="n">
        <v>-2.49</v>
      </c>
      <c r="F526" s="242" t="n">
        <v>28650</v>
      </c>
      <c r="G526" s="242" t="n">
        <v>28800</v>
      </c>
      <c r="H526" s="242" t="n">
        <v>27400</v>
      </c>
      <c r="I526" s="242" t="n">
        <v>1793929975</v>
      </c>
      <c r="J526" s="242" t="n">
        <v>419270169400</v>
      </c>
      <c r="K526" s="242" t="n">
        <v>15301831</v>
      </c>
    </row>
    <row r="527">
      <c r="A527" s="408" t="n">
        <v>46169</v>
      </c>
      <c r="B527" s="242" t="n">
        <v>25850</v>
      </c>
      <c r="C527" s="242" t="n">
        <v>74143</v>
      </c>
      <c r="D527" s="242" t="n">
        <v>-1550</v>
      </c>
      <c r="E527" s="243" t="n">
        <v>-5.66</v>
      </c>
      <c r="F527" s="242" t="n">
        <v>27200</v>
      </c>
      <c r="G527" s="242" t="n">
        <v>27250</v>
      </c>
      <c r="H527" s="242" t="n">
        <v>25750</v>
      </c>
      <c r="I527" s="242" t="n">
        <v>1947406250</v>
      </c>
      <c r="J527" s="242" t="n">
        <v>395552331350</v>
      </c>
      <c r="K527" s="242" t="n">
        <v>15301831</v>
      </c>
    </row>
    <row r="528">
      <c r="A528" s="408" t="n">
        <v>46170</v>
      </c>
      <c r="B528" s="242" t="n">
        <v>25450</v>
      </c>
      <c r="C528" s="242" t="n">
        <v>55294</v>
      </c>
      <c r="D528" s="242" t="n">
        <v>-400</v>
      </c>
      <c r="E528" s="243" t="n">
        <v>-1.55</v>
      </c>
      <c r="F528" s="242" t="n">
        <v>26400</v>
      </c>
      <c r="G528" s="242" t="n">
        <v>27050</v>
      </c>
      <c r="H528" s="242" t="n">
        <v>24500</v>
      </c>
      <c r="I528" s="242" t="n">
        <v>1406483750</v>
      </c>
      <c r="J528" s="242" t="n">
        <v>389431598950</v>
      </c>
      <c r="K528" s="242" t="n">
        <v>15301831</v>
      </c>
    </row>
    <row r="529">
      <c r="A529" s="408" t="n">
        <v>46171</v>
      </c>
      <c r="B529" s="242" t="n">
        <v>25900</v>
      </c>
      <c r="C529" s="242" t="n">
        <v>109049</v>
      </c>
      <c r="D529" s="242" t="n">
        <v>450</v>
      </c>
      <c r="E529" s="243" t="n">
        <v>1.77</v>
      </c>
      <c r="F529" s="242" t="n">
        <v>26050</v>
      </c>
      <c r="G529" s="242" t="n">
        <v>26600</v>
      </c>
      <c r="H529" s="242" t="n">
        <v>24800</v>
      </c>
      <c r="I529" s="242" t="n">
        <v>2800889225</v>
      </c>
      <c r="J529" s="242" t="n">
        <v>396317422900</v>
      </c>
      <c r="K529" s="242" t="n">
        <v>15301831</v>
      </c>
    </row>
    <row r="530">
      <c r="A530" s="408" t="n">
        <v>46174</v>
      </c>
      <c r="B530" s="242" t="n">
        <v>31600</v>
      </c>
      <c r="C530" s="242" t="n">
        <v>1008729</v>
      </c>
      <c r="D530" s="242" t="n">
        <v>5700</v>
      </c>
      <c r="E530" s="243" t="n">
        <v>22.01</v>
      </c>
      <c r="F530" s="242" t="n">
        <v>28400</v>
      </c>
      <c r="G530" s="242" t="n">
        <v>32300</v>
      </c>
      <c r="H530" s="242" t="n">
        <v>28200</v>
      </c>
      <c r="I530" s="242" t="n">
        <v>30913715625</v>
      </c>
      <c r="J530" s="242" t="n">
        <v>483537859600</v>
      </c>
      <c r="K530" s="242" t="n">
        <v>15301831</v>
      </c>
    </row>
    <row r="531">
      <c r="A531" s="408" t="n">
        <v>46175</v>
      </c>
      <c r="B531" s="242" t="n">
        <v>29300</v>
      </c>
      <c r="C531" s="242" t="n">
        <v>394930</v>
      </c>
      <c r="D531" s="242" t="n">
        <v>-2300</v>
      </c>
      <c r="E531" s="243" t="n">
        <v>-7.28</v>
      </c>
      <c r="F531" s="242" t="n">
        <v>31100</v>
      </c>
      <c r="G531" s="242" t="n">
        <v>32700</v>
      </c>
      <c r="H531" s="242" t="n">
        <v>28200</v>
      </c>
      <c r="I531" s="242" t="n">
        <v>11730052025</v>
      </c>
      <c r="J531" s="242" t="n">
        <v>448343648300</v>
      </c>
      <c r="K531" s="242" t="n">
        <v>15301831</v>
      </c>
    </row>
    <row r="532">
      <c r="A532" s="408" t="n">
        <v>46177</v>
      </c>
      <c r="B532" s="242" t="n">
        <v>27200</v>
      </c>
      <c r="C532" s="242" t="n">
        <v>100515</v>
      </c>
      <c r="D532" s="242" t="n">
        <v>-2100</v>
      </c>
      <c r="E532" s="243" t="n">
        <v>-7.17</v>
      </c>
      <c r="F532" s="242" t="n">
        <v>27750</v>
      </c>
      <c r="G532" s="242" t="n">
        <v>27900</v>
      </c>
      <c r="H532" s="242" t="n">
        <v>26450</v>
      </c>
      <c r="I532" s="242" t="n">
        <v>2730368350</v>
      </c>
      <c r="J532" s="242" t="n">
        <v>416209803200</v>
      </c>
      <c r="K532" s="242" t="n">
        <v>15301831</v>
      </c>
    </row>
    <row r="533">
      <c r="A533" s="408" t="n">
        <v>46178</v>
      </c>
      <c r="B533" s="242" t="n">
        <v>26400</v>
      </c>
      <c r="C533" s="242" t="n">
        <v>85073</v>
      </c>
      <c r="D533" s="242" t="n">
        <v>-800</v>
      </c>
      <c r="E533" s="243" t="n">
        <v>-2.94</v>
      </c>
      <c r="F533" s="242" t="n">
        <v>26900</v>
      </c>
      <c r="G533" s="242" t="n">
        <v>27050</v>
      </c>
      <c r="H533" s="242" t="n">
        <v>25200</v>
      </c>
      <c r="I533" s="242" t="n">
        <v>2208979700</v>
      </c>
      <c r="J533" s="242" t="n">
        <v>403968338400</v>
      </c>
      <c r="K533" s="242" t="n">
        <v>15301831</v>
      </c>
    </row>
    <row r="534">
      <c r="A534" s="408" t="n">
        <v>46181</v>
      </c>
      <c r="B534" s="242" t="n">
        <v>22950</v>
      </c>
      <c r="C534" s="242" t="n">
        <v>104874</v>
      </c>
      <c r="D534" s="242" t="n">
        <v>-3450</v>
      </c>
      <c r="E534" s="243" t="n">
        <v>-13.07</v>
      </c>
      <c r="F534" s="242" t="n">
        <v>24000</v>
      </c>
      <c r="G534" s="242" t="n">
        <v>24400</v>
      </c>
      <c r="H534" s="242" t="n">
        <v>22900</v>
      </c>
      <c r="I534" s="242" t="n">
        <v>2480537000</v>
      </c>
      <c r="J534" s="242" t="n">
        <v>351177021450</v>
      </c>
      <c r="K534" s="242" t="n">
        <v>15301831</v>
      </c>
    </row>
    <row r="535">
      <c r="A535" s="408" t="n">
        <v>46182</v>
      </c>
      <c r="B535" s="242" t="n">
        <v>23300</v>
      </c>
      <c r="C535" s="242" t="n">
        <v>73658</v>
      </c>
      <c r="D535" s="242" t="n">
        <v>350</v>
      </c>
      <c r="E535" s="243" t="n">
        <v>1.53</v>
      </c>
      <c r="F535" s="242" t="n">
        <v>23250</v>
      </c>
      <c r="G535" s="242" t="n">
        <v>23850</v>
      </c>
      <c r="H535" s="242" t="n">
        <v>22500</v>
      </c>
      <c r="I535" s="242" t="n">
        <v>1704990400</v>
      </c>
      <c r="J535" s="242" t="n">
        <v>356532662300</v>
      </c>
      <c r="K535" s="242" t="n">
        <v>15301831</v>
      </c>
    </row>
    <row r="536">
      <c r="A536" s="408" t="n">
        <v>46183</v>
      </c>
      <c r="B536" s="242" t="n">
        <v>22450</v>
      </c>
      <c r="C536" s="242" t="n">
        <v>58526</v>
      </c>
      <c r="D536" s="242" t="n">
        <v>-850</v>
      </c>
      <c r="E536" s="243" t="n">
        <v>-3.65</v>
      </c>
      <c r="F536" s="242" t="n">
        <v>22750</v>
      </c>
      <c r="G536" s="242" t="n">
        <v>23600</v>
      </c>
      <c r="H536" s="242" t="n">
        <v>21850</v>
      </c>
      <c r="I536" s="242" t="n">
        <v>1312804050</v>
      </c>
      <c r="J536" s="242" t="n">
        <v>343526105950</v>
      </c>
      <c r="K536" s="242" t="n">
        <v>15301831</v>
      </c>
    </row>
    <row r="537">
      <c r="A537" s="408" t="n">
        <v>46184</v>
      </c>
      <c r="B537" s="242" t="n">
        <v>21950</v>
      </c>
      <c r="C537" s="242" t="n">
        <v>76683</v>
      </c>
      <c r="D537" s="242" t="n">
        <v>-500</v>
      </c>
      <c r="E537" s="243" t="n">
        <v>-2.23</v>
      </c>
      <c r="F537" s="242" t="n">
        <v>21950</v>
      </c>
      <c r="G537" s="242" t="n">
        <v>22100</v>
      </c>
      <c r="H537" s="242" t="n">
        <v>21000</v>
      </c>
      <c r="I537" s="242" t="n">
        <v>1645721250</v>
      </c>
      <c r="J537" s="242" t="n">
        <v>335875190450</v>
      </c>
      <c r="K537" s="242" t="n">
        <v>15301831</v>
      </c>
    </row>
    <row r="538">
      <c r="A538" s="408" t="n">
        <v>46185</v>
      </c>
      <c r="B538" s="242" t="n">
        <v>25100</v>
      </c>
      <c r="C538" s="242" t="n">
        <v>232674</v>
      </c>
      <c r="D538" s="242" t="n">
        <v>3150</v>
      </c>
      <c r="E538" s="243" t="n">
        <v>14.35</v>
      </c>
      <c r="F538" s="242" t="n">
        <v>22850</v>
      </c>
      <c r="G538" s="242" t="n">
        <v>26800</v>
      </c>
      <c r="H538" s="242" t="n">
        <v>22650</v>
      </c>
      <c r="I538" s="242" t="n">
        <v>5867100075</v>
      </c>
      <c r="J538" s="242" t="n">
        <v>384075958100</v>
      </c>
      <c r="K538" s="242" t="n">
        <v>15301831</v>
      </c>
    </row>
    <row r="539">
      <c r="A539" s="408" t="n">
        <v>46188</v>
      </c>
      <c r="B539" s="242" t="n">
        <v>25250</v>
      </c>
      <c r="C539" s="242" t="n">
        <v>63659</v>
      </c>
      <c r="D539" s="242" t="n">
        <v>150</v>
      </c>
      <c r="E539" s="243" t="n">
        <v>0.6</v>
      </c>
      <c r="F539" s="242" t="n">
        <v>25900</v>
      </c>
      <c r="G539" s="242" t="n">
        <v>27000</v>
      </c>
      <c r="H539" s="242" t="n">
        <v>25000</v>
      </c>
      <c r="I539" s="242" t="n">
        <v>1626724550</v>
      </c>
      <c r="J539" s="242" t="n">
        <v>386371232750</v>
      </c>
      <c r="K539" s="242" t="n">
        <v>15301831</v>
      </c>
    </row>
    <row r="540">
      <c r="A540" s="408" t="n">
        <v>46189</v>
      </c>
      <c r="B540" s="242" t="n">
        <v>24550</v>
      </c>
      <c r="C540" s="242" t="n">
        <v>63559</v>
      </c>
      <c r="D540" s="242" t="n">
        <v>-700</v>
      </c>
      <c r="E540" s="243" t="n">
        <v>-2.77</v>
      </c>
      <c r="F540" s="242" t="n">
        <v>26200</v>
      </c>
      <c r="G540" s="242" t="n">
        <v>26200</v>
      </c>
      <c r="H540" s="242" t="n">
        <v>24150</v>
      </c>
      <c r="I540" s="242" t="n">
        <v>1561471675</v>
      </c>
      <c r="J540" s="242" t="n">
        <v>375659951050</v>
      </c>
      <c r="K540" s="242" t="n">
        <v>15301831</v>
      </c>
    </row>
    <row r="541">
      <c r="A541" s="408" t="n">
        <v>46190</v>
      </c>
      <c r="B541" s="242" t="n">
        <v>24100</v>
      </c>
      <c r="C541" s="242" t="n">
        <v>49200</v>
      </c>
      <c r="D541" s="242" t="n">
        <v>-450</v>
      </c>
      <c r="E541" s="243" t="n">
        <v>-1.83</v>
      </c>
      <c r="F541" s="242" t="n">
        <v>24150</v>
      </c>
      <c r="G541" s="242" t="n">
        <v>24450</v>
      </c>
      <c r="H541" s="242" t="n">
        <v>22600</v>
      </c>
      <c r="I541" s="242" t="n">
        <v>1176126275</v>
      </c>
      <c r="J541" s="242" t="n">
        <v>368774127100</v>
      </c>
      <c r="K541" s="242" t="n">
        <v>15301831</v>
      </c>
    </row>
    <row r="542">
      <c r="A542" s="408" t="n">
        <v>46191</v>
      </c>
      <c r="B542" s="242" t="n">
        <v>23500</v>
      </c>
      <c r="C542" s="242" t="n">
        <v>55735</v>
      </c>
      <c r="D542" s="242" t="n">
        <v>-600</v>
      </c>
      <c r="E542" s="243" t="n">
        <v>-2.49</v>
      </c>
      <c r="F542" s="242" t="n">
        <v>25000</v>
      </c>
      <c r="G542" s="242" t="n">
        <v>25000</v>
      </c>
      <c r="H542" s="242" t="n">
        <v>23450</v>
      </c>
      <c r="I542" s="242" t="n">
        <v>1328552675</v>
      </c>
      <c r="J542" s="242" t="n">
        <v>359593028500</v>
      </c>
      <c r="K542" s="242" t="n">
        <v>15301831</v>
      </c>
    </row>
    <row r="543">
      <c r="A543" s="408" t="n">
        <v>46192</v>
      </c>
      <c r="B543" s="242" t="n">
        <v>22250</v>
      </c>
      <c r="C543" s="242" t="n">
        <v>80876</v>
      </c>
      <c r="D543" s="242" t="n">
        <v>-1250</v>
      </c>
      <c r="E543" s="243" t="n">
        <v>-5.32</v>
      </c>
      <c r="F543" s="242" t="n">
        <v>23150</v>
      </c>
      <c r="G543" s="242" t="n">
        <v>23300</v>
      </c>
      <c r="H543" s="242" t="n">
        <v>21750</v>
      </c>
      <c r="I543" s="242" t="n">
        <v>1799007450</v>
      </c>
      <c r="J543" s="242" t="n">
        <v>342062177250</v>
      </c>
      <c r="K543" s="242" t="n">
        <v>15373581</v>
      </c>
    </row>
    <row r="544">
      <c r="A544" s="408" t="n">
        <v>46195</v>
      </c>
      <c r="B544" s="242" t="n">
        <v>21600</v>
      </c>
      <c r="C544" s="242" t="n">
        <v>52503</v>
      </c>
      <c r="D544" s="242" t="n">
        <v>-650</v>
      </c>
      <c r="E544" s="243" t="n">
        <v>-2.92</v>
      </c>
      <c r="F544" s="242" t="n">
        <v>22350</v>
      </c>
      <c r="G544" s="242" t="n">
        <v>22900</v>
      </c>
      <c r="H544" s="242" t="n">
        <v>21350</v>
      </c>
      <c r="I544" s="242" t="n">
        <v>1148240225</v>
      </c>
      <c r="J544" s="242" t="n">
        <v>332069349600</v>
      </c>
      <c r="K544" s="242" t="n">
        <v>15373581</v>
      </c>
    </row>
    <row r="545">
      <c r="A545" s="408" t="n">
        <v>46196</v>
      </c>
      <c r="B545" s="242" t="n">
        <v>19810</v>
      </c>
      <c r="C545" s="242" t="n">
        <v>67278</v>
      </c>
      <c r="D545" s="242" t="n">
        <v>-1790</v>
      </c>
      <c r="E545" s="243" t="n">
        <v>-8.289999999999999</v>
      </c>
      <c r="F545" s="242" t="n">
        <v>21550</v>
      </c>
      <c r="G545" s="242" t="n">
        <v>21800</v>
      </c>
      <c r="H545" s="242" t="n">
        <v>19800</v>
      </c>
      <c r="I545" s="242" t="n">
        <v>1368018620</v>
      </c>
      <c r="J545" s="242" t="n">
        <v>304550639610</v>
      </c>
      <c r="K545" s="242" t="n">
        <v>15373581</v>
      </c>
    </row>
    <row r="546">
      <c r="A546" s="408" t="n">
        <v>46197</v>
      </c>
      <c r="B546" s="242" t="n">
        <v>20500</v>
      </c>
      <c r="C546" s="242" t="n">
        <v>60694</v>
      </c>
      <c r="D546" s="242" t="n">
        <v>690</v>
      </c>
      <c r="E546" s="243" t="n">
        <v>3.48</v>
      </c>
      <c r="F546" s="242" t="n">
        <v>19710</v>
      </c>
      <c r="G546" s="242" t="n">
        <v>20500</v>
      </c>
      <c r="H546" s="242" t="n">
        <v>19510</v>
      </c>
      <c r="I546" s="242" t="n">
        <v>1219935915</v>
      </c>
      <c r="J546" s="242" t="n">
        <v>315158410500</v>
      </c>
      <c r="K546" s="242" t="n">
        <v>15373581</v>
      </c>
    </row>
    <row r="547">
      <c r="A547" s="408" t="n">
        <v>46198</v>
      </c>
      <c r="B547" s="242" t="n">
        <v>20100</v>
      </c>
      <c r="C547" s="242" t="n">
        <v>52509</v>
      </c>
      <c r="D547" s="242" t="n">
        <v>-400</v>
      </c>
      <c r="E547" s="243" t="n">
        <v>-1.95</v>
      </c>
      <c r="F547" s="242" t="n">
        <v>22150</v>
      </c>
      <c r="G547" s="242" t="n">
        <v>22150</v>
      </c>
      <c r="H547" s="242" t="n">
        <v>19890</v>
      </c>
      <c r="I547" s="242" t="n">
        <v>1078955405</v>
      </c>
      <c r="J547" s="242" t="n">
        <v>309008978100</v>
      </c>
      <c r="K547" s="242" t="n">
        <v>15373581</v>
      </c>
    </row>
    <row r="548">
      <c r="A548" s="408" t="n">
        <v>46199</v>
      </c>
      <c r="B548" s="242" t="n">
        <v>18230</v>
      </c>
      <c r="C548" s="242" t="n">
        <v>71603</v>
      </c>
      <c r="D548" s="242" t="n">
        <v>-1870</v>
      </c>
      <c r="E548" s="243" t="n">
        <v>-9.300000000000001</v>
      </c>
      <c r="F548" s="242" t="n">
        <v>19700</v>
      </c>
      <c r="G548" s="242" t="n">
        <v>20100</v>
      </c>
      <c r="H548" s="242" t="n">
        <v>17830</v>
      </c>
      <c r="I548" s="242" t="n">
        <v>1327217550</v>
      </c>
      <c r="J548" s="242" t="n">
        <v>280260381630</v>
      </c>
      <c r="K548" s="242" t="n">
        <v>15373581</v>
      </c>
    </row>
    <row r="549">
      <c r="A549" s="408" t="n">
        <v>46202</v>
      </c>
      <c r="B549" s="242" t="n">
        <v>20150</v>
      </c>
      <c r="C549" s="242" t="n">
        <v>54368</v>
      </c>
      <c r="D549" s="242" t="n">
        <v>1920</v>
      </c>
      <c r="E549" s="243" t="n">
        <v>10.53</v>
      </c>
      <c r="F549" s="242" t="n">
        <v>17960</v>
      </c>
      <c r="G549" s="242" t="n">
        <v>20200</v>
      </c>
      <c r="H549" s="242" t="n">
        <v>17820</v>
      </c>
      <c r="I549" s="242" t="n">
        <v>1056024500</v>
      </c>
      <c r="J549" s="242" t="n">
        <v>309777657150</v>
      </c>
      <c r="K549" s="242" t="n">
        <v>15373581</v>
      </c>
    </row>
    <row r="550">
      <c r="A550" s="408" t="n">
        <v>46203</v>
      </c>
      <c r="B550" s="242" t="n">
        <v>20250</v>
      </c>
      <c r="C550" s="242" t="n">
        <v>53842</v>
      </c>
      <c r="D550" s="242" t="n">
        <v>100</v>
      </c>
      <c r="E550" s="243" t="n">
        <v>0.5</v>
      </c>
      <c r="F550" s="242" t="n">
        <v>20450</v>
      </c>
      <c r="G550" s="242" t="n">
        <v>20800</v>
      </c>
      <c r="H550" s="242" t="n">
        <v>19870</v>
      </c>
      <c r="I550" s="242" t="n">
        <v>1086703050</v>
      </c>
      <c r="J550" s="242" t="n">
        <v>311315015250</v>
      </c>
      <c r="K550" s="242" t="n">
        <v>15373581</v>
      </c>
    </row>
    <row r="551">
      <c r="A551" s="408" t="n">
        <v>46204</v>
      </c>
      <c r="B551" s="242" t="n">
        <v>20700</v>
      </c>
      <c r="C551" s="242" t="n">
        <v>48052</v>
      </c>
      <c r="D551" s="242" t="n">
        <v>450</v>
      </c>
      <c r="E551" s="243" t="n">
        <v>2.22</v>
      </c>
      <c r="F551" s="242" t="n">
        <v>20250</v>
      </c>
      <c r="G551" s="242" t="n">
        <v>21100</v>
      </c>
      <c r="H551" s="242" t="n">
        <v>19820</v>
      </c>
      <c r="I551" s="242" t="n">
        <v>986667365</v>
      </c>
      <c r="J551" s="242" t="n">
        <v>318233126700</v>
      </c>
      <c r="K551" s="242" t="n">
        <v>15373581</v>
      </c>
    </row>
    <row r="552">
      <c r="A552" s="408" t="n">
        <v>46205</v>
      </c>
      <c r="B552" s="242" t="n">
        <v>19100</v>
      </c>
      <c r="C552" s="242" t="n">
        <v>42824</v>
      </c>
      <c r="D552" s="242" t="n">
        <v>-1600</v>
      </c>
      <c r="E552" s="243" t="n">
        <v>-7.73</v>
      </c>
      <c r="F552" s="242" t="n">
        <v>20700</v>
      </c>
      <c r="G552" s="242" t="n">
        <v>20700</v>
      </c>
      <c r="H552" s="242" t="n">
        <v>19000</v>
      </c>
      <c r="I552" s="242" t="n">
        <v>829147375</v>
      </c>
      <c r="J552" s="242" t="n">
        <v>293635397100</v>
      </c>
      <c r="K552" s="242" t="n">
        <v>15373581</v>
      </c>
    </row>
    <row r="553">
      <c r="A553" s="408" t="n">
        <v>46206</v>
      </c>
      <c r="B553" s="242" t="n">
        <v>18440</v>
      </c>
      <c r="C553" s="242" t="n">
        <v>94923</v>
      </c>
      <c r="D553" s="242" t="n">
        <v>-660</v>
      </c>
      <c r="E553" s="243" t="n">
        <v>-3.46</v>
      </c>
      <c r="F553" s="242" t="n">
        <v>19290</v>
      </c>
      <c r="G553" s="242" t="n">
        <v>19560</v>
      </c>
      <c r="H553" s="242" t="n">
        <v>17950</v>
      </c>
      <c r="I553" s="242" t="n">
        <v>1734901960</v>
      </c>
      <c r="J553" s="242" t="n">
        <v>283488833640</v>
      </c>
      <c r="K553" s="242" t="n">
        <v>15373581</v>
      </c>
    </row>
    <row r="554">
      <c r="A554" s="408" t="n">
        <v>46209</v>
      </c>
      <c r="B554" s="242" t="n">
        <v>18600</v>
      </c>
      <c r="C554" s="242" t="n">
        <v>27436</v>
      </c>
      <c r="D554" s="242" t="n">
        <v>160</v>
      </c>
      <c r="E554" s="243" t="n">
        <v>0.87</v>
      </c>
      <c r="F554" s="242" t="n">
        <v>18720</v>
      </c>
      <c r="G554" s="242" t="n">
        <v>18720</v>
      </c>
      <c r="H554" s="242" t="n">
        <v>18020</v>
      </c>
      <c r="I554" s="242" t="n">
        <v>503054210</v>
      </c>
      <c r="J554" s="242" t="n">
        <v>285948606600</v>
      </c>
      <c r="K554" s="242" t="n">
        <v>15373581</v>
      </c>
    </row>
    <row r="555">
      <c r="A555" s="408" t="n">
        <v>46210</v>
      </c>
      <c r="B555" s="242" t="n">
        <v>17350</v>
      </c>
      <c r="C555" s="242" t="n">
        <v>46128</v>
      </c>
      <c r="D555" s="242" t="n">
        <v>-1250</v>
      </c>
      <c r="E555" s="243" t="n">
        <v>-6.72</v>
      </c>
      <c r="F555" s="242" t="n">
        <v>18040</v>
      </c>
      <c r="G555" s="242" t="n">
        <v>18680</v>
      </c>
      <c r="H555" s="242" t="n">
        <v>17150</v>
      </c>
      <c r="I555" s="242" t="n">
        <v>814727420</v>
      </c>
      <c r="J555" s="242" t="n">
        <v>266731630350</v>
      </c>
      <c r="K555" s="242" t="n">
        <v>15373581</v>
      </c>
    </row>
    <row r="556">
      <c r="A556" s="408" t="n">
        <v>46211</v>
      </c>
      <c r="B556" s="242" t="n">
        <v>15980</v>
      </c>
      <c r="C556" s="242" t="n">
        <v>69111</v>
      </c>
      <c r="D556" s="242" t="n">
        <v>-1370</v>
      </c>
      <c r="E556" s="243" t="n">
        <v>-7.9</v>
      </c>
      <c r="F556" s="242" t="n">
        <v>16520</v>
      </c>
      <c r="G556" s="242" t="n">
        <v>17200</v>
      </c>
      <c r="H556" s="242" t="n">
        <v>15780</v>
      </c>
      <c r="I556" s="242" t="n">
        <v>1128031030</v>
      </c>
      <c r="J556" s="242" t="n">
        <v>245669824380</v>
      </c>
      <c r="K556" s="242" t="n">
        <v>15373581</v>
      </c>
    </row>
    <row r="557">
      <c r="A557" s="408" t="n">
        <v>46212</v>
      </c>
      <c r="B557" s="242" t="n">
        <v>16090</v>
      </c>
      <c r="C557" s="242" t="n">
        <v>46025</v>
      </c>
      <c r="D557" s="242" t="n">
        <v>110</v>
      </c>
      <c r="E557" s="243" t="n">
        <v>0.6899999999999999</v>
      </c>
      <c r="F557" s="242" t="n">
        <v>15700</v>
      </c>
      <c r="G557" s="242" t="n">
        <v>17110</v>
      </c>
      <c r="H557" s="242" t="n">
        <v>15700</v>
      </c>
      <c r="I557" s="242" t="n">
        <v>755632900</v>
      </c>
      <c r="J557" s="242" t="n">
        <v>247360918290</v>
      </c>
      <c r="K557" s="242" t="n">
        <v>15373581</v>
      </c>
    </row>
    <row r="558">
      <c r="A558" s="408" t="n">
        <v>46213</v>
      </c>
      <c r="B558" s="242" t="n">
        <v>18240</v>
      </c>
      <c r="C558" s="242" t="n">
        <v>71553</v>
      </c>
      <c r="D558" s="242" t="n">
        <v>2150</v>
      </c>
      <c r="E558" s="243" t="n">
        <v>13.36</v>
      </c>
      <c r="F558" s="242" t="n">
        <v>16260</v>
      </c>
      <c r="G558" s="242" t="n">
        <v>18680</v>
      </c>
      <c r="H558" s="242" t="n">
        <v>16260</v>
      </c>
      <c r="I558" s="242" t="n">
        <v>1280244055</v>
      </c>
      <c r="J558" s="242" t="n">
        <v>280414117440</v>
      </c>
      <c r="K558" s="242" t="n">
        <v>15373581</v>
      </c>
    </row>
    <row r="559">
      <c r="A559" s="408" t="n">
        <v>46216</v>
      </c>
      <c r="B559" s="242" t="n">
        <v>17070</v>
      </c>
      <c r="C559" s="242" t="n">
        <v>36598</v>
      </c>
      <c r="D559" s="242" t="n">
        <v>-1170</v>
      </c>
      <c r="E559" s="243" t="n">
        <v>-6.41</v>
      </c>
      <c r="F559" s="242" t="n">
        <v>18240</v>
      </c>
      <c r="G559" s="242" t="n">
        <v>18780</v>
      </c>
      <c r="H559" s="242" t="n">
        <v>16900</v>
      </c>
      <c r="I559" s="242" t="n">
        <v>645243210</v>
      </c>
      <c r="J559" s="242" t="n">
        <v>262427027670</v>
      </c>
      <c r="K559" s="242" t="n">
        <v>15373581</v>
      </c>
    </row>
    <row r="560">
      <c r="A560" s="408" t="n">
        <v>46217</v>
      </c>
      <c r="B560" s="242" t="n">
        <v>16150</v>
      </c>
      <c r="C560" s="242" t="n">
        <v>38057</v>
      </c>
      <c r="D560" s="242" t="n">
        <v>-920</v>
      </c>
      <c r="E560" s="243" t="n">
        <v>-5.39</v>
      </c>
      <c r="F560" s="242" t="n">
        <v>16580</v>
      </c>
      <c r="G560" s="242" t="n">
        <v>17030</v>
      </c>
      <c r="H560" s="242" t="n">
        <v>15730</v>
      </c>
      <c r="I560" s="242" t="n">
        <v>617713770</v>
      </c>
      <c r="J560" s="242" t="n">
        <v>248283333150</v>
      </c>
      <c r="K560" s="242" t="n">
        <v>15373581</v>
      </c>
    </row>
    <row r="561">
      <c r="A561" s="408" t="n">
        <v>46218</v>
      </c>
      <c r="B561" s="242" t="n">
        <v>17150</v>
      </c>
      <c r="C561" s="242" t="n">
        <v>29192</v>
      </c>
      <c r="D561" s="242" t="n">
        <v>1000</v>
      </c>
      <c r="E561" s="243" t="n">
        <v>6.19</v>
      </c>
      <c r="F561" s="242" t="n">
        <v>16690</v>
      </c>
      <c r="G561" s="242" t="n">
        <v>17600</v>
      </c>
      <c r="H561" s="242" t="n">
        <v>16530</v>
      </c>
      <c r="I561" s="242" t="n">
        <v>502533800</v>
      </c>
      <c r="J561" s="242" t="n">
        <v>263656914150</v>
      </c>
      <c r="K561" s="242" t="n">
        <v>15373581</v>
      </c>
    </row>
    <row r="562">
      <c r="A562" s="408" t="n">
        <v>46219</v>
      </c>
      <c r="B562" s="242" t="n">
        <v>16470</v>
      </c>
      <c r="C562" s="242" t="n">
        <v>22126</v>
      </c>
      <c r="D562" s="242" t="n">
        <v>-680</v>
      </c>
      <c r="E562" s="243" t="n">
        <v>-3.97</v>
      </c>
      <c r="F562" s="242" t="n">
        <v>16950</v>
      </c>
      <c r="G562" s="242" t="n">
        <v>16950</v>
      </c>
      <c r="H562" s="242" t="n">
        <v>16260</v>
      </c>
      <c r="I562" s="242" t="n">
        <v>364723780</v>
      </c>
      <c r="J562" s="242" t="n">
        <v>253202879070</v>
      </c>
      <c r="K562" s="242" t="n">
        <v>15373581</v>
      </c>
    </row>
    <row r="563">
      <c r="A563" s="408" t="n">
        <v>46223</v>
      </c>
      <c r="B563" s="242" t="n">
        <v>15140</v>
      </c>
      <c r="C563" s="242" t="n">
        <v>31588</v>
      </c>
      <c r="D563" s="242" t="n">
        <v>-1330</v>
      </c>
      <c r="E563" s="243" t="n">
        <v>-8.08</v>
      </c>
      <c r="F563" s="242" t="n">
        <v>15950</v>
      </c>
      <c r="G563" s="242" t="n">
        <v>15980</v>
      </c>
      <c r="H563" s="242" t="n">
        <v>15100</v>
      </c>
      <c r="I563" s="242" t="n">
        <v>486163160</v>
      </c>
      <c r="J563" s="242" t="n">
        <v>232756016340</v>
      </c>
      <c r="K563" s="242" t="n">
        <v>15373581</v>
      </c>
    </row>
    <row r="564">
      <c r="A564" s="408" t="n">
        <v>46224</v>
      </c>
      <c r="B564" s="242" t="n">
        <v>15950</v>
      </c>
      <c r="C564" s="242" t="n">
        <v>34231</v>
      </c>
      <c r="D564" s="242" t="n">
        <v>810</v>
      </c>
      <c r="E564" s="243" t="n">
        <v>5.35</v>
      </c>
      <c r="F564" s="242" t="n">
        <v>15260</v>
      </c>
      <c r="G564" s="242" t="n">
        <v>16440</v>
      </c>
      <c r="H564" s="242" t="n">
        <v>14860</v>
      </c>
      <c r="I564" s="242" t="n">
        <v>533479420</v>
      </c>
      <c r="J564" s="242" t="n">
        <v>245208616950</v>
      </c>
      <c r="K564" s="242" t="n">
        <v>15373581</v>
      </c>
    </row>
    <row r="565">
      <c r="A565" s="408" t="n">
        <v>46225</v>
      </c>
      <c r="B565" s="242" t="n">
        <v>16950</v>
      </c>
      <c r="C565" s="242" t="n">
        <v>89542</v>
      </c>
      <c r="D565" s="242" t="n">
        <v>1000</v>
      </c>
      <c r="E565" s="243" t="n">
        <v>6.27</v>
      </c>
      <c r="F565" s="242" t="n">
        <v>17350</v>
      </c>
      <c r="G565" s="242" t="n">
        <v>18360</v>
      </c>
      <c r="H565" s="242" t="n">
        <v>16500</v>
      </c>
      <c r="I565" s="242" t="n">
        <v>1554468095</v>
      </c>
      <c r="J565" s="242" t="n">
        <v>260911027950</v>
      </c>
      <c r="K565" s="242" t="n">
        <v>15392981</v>
      </c>
    </row>
    <row r="566">
      <c r="A566" s="408" t="n">
        <v>46226</v>
      </c>
      <c r="B566" s="242" t="n">
        <v>17510</v>
      </c>
      <c r="C566" s="242" t="n">
        <v>50342</v>
      </c>
      <c r="D566" s="242" t="n">
        <v>560</v>
      </c>
      <c r="E566" s="243" t="n">
        <v>3.3</v>
      </c>
      <c r="F566" s="242" t="n">
        <v>17480</v>
      </c>
      <c r="G566" s="242" t="n">
        <v>17680</v>
      </c>
      <c r="H566" s="242" t="n">
        <v>16710</v>
      </c>
      <c r="I566" s="242" t="n">
        <v>869076075</v>
      </c>
      <c r="J566" s="242" t="n">
        <v>269531097310</v>
      </c>
      <c r="K566" s="242" t="n">
        <v>15392981</v>
      </c>
    </row>
    <row r="567">
      <c r="A567" s="408" t="n">
        <v>46227</v>
      </c>
      <c r="B567" s="242" t="n">
        <v>16490</v>
      </c>
      <c r="C567" s="242" t="n">
        <v>24502</v>
      </c>
      <c r="D567" s="242" t="n">
        <v>-1020</v>
      </c>
      <c r="E567" s="243" t="n">
        <v>-5.83</v>
      </c>
      <c r="F567" s="242" t="n">
        <v>17140</v>
      </c>
      <c r="G567" s="242" t="n">
        <v>17140</v>
      </c>
      <c r="H567" s="242" t="n">
        <v>16380</v>
      </c>
      <c r="I567" s="242" t="n">
        <v>408138910</v>
      </c>
      <c r="J567" s="242" t="n">
        <v>253830256690</v>
      </c>
      <c r="K567" s="242" t="n">
        <v>15392981</v>
      </c>
    </row>
    <row r="568">
      <c r="A568" s="408" t="n">
        <v>46230</v>
      </c>
      <c r="B568" s="242" t="n">
        <v>17670</v>
      </c>
      <c r="C568" s="242" t="n">
        <v>62179</v>
      </c>
      <c r="D568" s="242" t="n">
        <v>1180</v>
      </c>
      <c r="E568" s="243" t="n">
        <v>7.16</v>
      </c>
      <c r="F568" s="242" t="n">
        <v>17250</v>
      </c>
      <c r="G568" s="242" t="n">
        <v>18970</v>
      </c>
      <c r="H568" s="242" t="n">
        <v>16850</v>
      </c>
      <c r="I568" s="242" t="n">
        <v>1110113120</v>
      </c>
      <c r="J568" s="242" t="n">
        <v>271993974270</v>
      </c>
      <c r="K568" s="242" t="n">
        <v>15392981</v>
      </c>
    </row>
    <row r="569">
      <c r="A569" s="408" t="n">
        <v>46231</v>
      </c>
      <c r="B569" s="242" t="n">
        <v>15900</v>
      </c>
      <c r="C569" s="242" t="n">
        <v>33214</v>
      </c>
      <c r="D569" s="242" t="n">
        <v>-1770</v>
      </c>
      <c r="E569" s="243" t="n">
        <v>-10.02</v>
      </c>
      <c r="F569" s="242" t="n">
        <v>16720</v>
      </c>
      <c r="G569" s="242" t="n">
        <v>17550</v>
      </c>
      <c r="H569" s="242" t="n">
        <v>15830</v>
      </c>
      <c r="I569" s="242" t="n">
        <v>540324820</v>
      </c>
      <c r="J569" s="242" t="n">
        <v>244748397900</v>
      </c>
      <c r="K569" s="242" t="n">
        <v>15392981</v>
      </c>
    </row>
    <row r="570">
      <c r="A570" s="408" t="n">
        <v>46232</v>
      </c>
      <c r="B570" s="242" t="n">
        <v>20650</v>
      </c>
      <c r="C570" s="242" t="n">
        <v>26204</v>
      </c>
      <c r="D570" s="242" t="n">
        <v>4750</v>
      </c>
      <c r="E570" s="243" t="n">
        <v>29.87</v>
      </c>
      <c r="F570" s="242" t="n">
        <v>20650</v>
      </c>
      <c r="G570" s="242" t="n">
        <v>20650</v>
      </c>
      <c r="H570" s="242" t="n">
        <v>20650</v>
      </c>
      <c r="I570" s="242" t="n">
        <v>541112600</v>
      </c>
      <c r="J570" s="242" t="n">
        <v>317865057650</v>
      </c>
      <c r="K570" s="242" t="n">
        <v>15392981</v>
      </c>
    </row>
    <row r="571">
      <c r="A571" s="408" t="n">
        <v>46233</v>
      </c>
      <c r="B571" s="242" t="n">
        <v>19050</v>
      </c>
      <c r="C571" s="242" t="n">
        <v>884382</v>
      </c>
      <c r="D571" s="242" t="n">
        <v>-1600</v>
      </c>
      <c r="E571" s="243" t="n">
        <v>-7.75</v>
      </c>
      <c r="F571" s="242" t="n">
        <v>24500</v>
      </c>
      <c r="G571" s="242" t="n">
        <v>24600</v>
      </c>
      <c r="H571" s="242" t="n">
        <v>17510</v>
      </c>
      <c r="I571" s="242" t="n">
        <v>17596411745</v>
      </c>
      <c r="J571" s="242" t="n">
        <v>293236288050</v>
      </c>
      <c r="K571" s="242" t="n">
        <v>15392981</v>
      </c>
    </row>
    <row r="572">
      <c r="A572" s="408" t="n">
        <v>46234</v>
      </c>
      <c r="B572" s="242" t="n">
        <v>20150</v>
      </c>
      <c r="C572" s="242" t="n">
        <v>513769</v>
      </c>
      <c r="D572" s="242" t="n">
        <v>1100</v>
      </c>
      <c r="E572" s="243" t="n">
        <v>5.77</v>
      </c>
      <c r="F572" s="242" t="n">
        <v>19420</v>
      </c>
      <c r="G572" s="242" t="n">
        <v>20650</v>
      </c>
      <c r="H572" s="242" t="n">
        <v>18680</v>
      </c>
      <c r="I572" s="242" t="n">
        <v>10115475835</v>
      </c>
      <c r="J572" s="242" t="n">
        <v>310168567150</v>
      </c>
      <c r="K572" s="242" t="n">
        <v>15392981</v>
      </c>
    </row>
    <row r="573">
      <c r="A573" s="408" t="n">
        <v>46237</v>
      </c>
      <c r="B573" s="242" t="n">
        <v>22700</v>
      </c>
      <c r="C573" s="242" t="n">
        <v>872218</v>
      </c>
      <c r="D573" s="242" t="n">
        <v>2550</v>
      </c>
      <c r="E573" s="243" t="n">
        <v>12.66</v>
      </c>
      <c r="F573" s="242" t="n">
        <v>22750</v>
      </c>
      <c r="G573" s="242" t="n">
        <v>25400</v>
      </c>
      <c r="H573" s="242" t="n">
        <v>22300</v>
      </c>
      <c r="I573" s="242" t="n">
        <v>20833937050</v>
      </c>
      <c r="J573" s="242" t="n">
        <v>349420668700</v>
      </c>
      <c r="K573" s="242" t="n">
        <v>15392981</v>
      </c>
    </row>
    <row r="574">
      <c r="A574" s="408" t="n">
        <v>46238</v>
      </c>
      <c r="B574" s="242" t="n">
        <v>22500</v>
      </c>
      <c r="C574" s="242" t="n">
        <v>264078</v>
      </c>
      <c r="D574" s="242" t="n">
        <v>-200</v>
      </c>
      <c r="E574" s="243" t="n">
        <v>-0.88</v>
      </c>
      <c r="F574" s="242" t="n">
        <v>21750</v>
      </c>
      <c r="G574" s="242" t="n">
        <v>22650</v>
      </c>
      <c r="H574" s="242" t="n">
        <v>21200</v>
      </c>
      <c r="I574" s="242" t="n">
        <v>5812926800</v>
      </c>
      <c r="J574" s="242" t="n">
        <v>346342072500</v>
      </c>
      <c r="K574" s="242" t="n">
        <v>15392981</v>
      </c>
    </row>
    <row r="575">
      <c r="A575" s="408" t="n">
        <v>46239</v>
      </c>
      <c r="B575" s="242" t="n">
        <v>23000</v>
      </c>
      <c r="C575" s="242" t="n">
        <v>193899</v>
      </c>
      <c r="D575" s="242" t="n">
        <v>500</v>
      </c>
      <c r="E575" s="243" t="n">
        <v>2.22</v>
      </c>
      <c r="F575" s="242" t="n">
        <v>22600</v>
      </c>
      <c r="G575" s="242" t="n">
        <v>23150</v>
      </c>
      <c r="H575" s="242" t="n">
        <v>21500</v>
      </c>
      <c r="I575" s="242" t="n">
        <v>4363730500</v>
      </c>
      <c r="J575" s="242" t="n">
        <v>354038563000</v>
      </c>
      <c r="K575" s="242" t="n">
        <v>15392981</v>
      </c>
    </row>
    <row r="576">
      <c r="A576" s="408" t="n">
        <v>46240</v>
      </c>
      <c r="B576" s="242" t="n">
        <v>23100</v>
      </c>
      <c r="C576" s="242" t="n">
        <v>250208</v>
      </c>
      <c r="D576" s="242" t="n">
        <v>100</v>
      </c>
      <c r="E576" s="243" t="n">
        <v>0.43</v>
      </c>
      <c r="F576" s="242" t="n">
        <v>24050</v>
      </c>
      <c r="G576" s="242" t="n">
        <v>24150</v>
      </c>
      <c r="H576" s="242" t="n">
        <v>22300</v>
      </c>
      <c r="I576" s="242" t="n">
        <v>5791177650</v>
      </c>
      <c r="J576" s="242" t="n">
        <v>355577861100</v>
      </c>
      <c r="K576" s="242" t="n">
        <v>15392981</v>
      </c>
    </row>
    <row r="577">
      <c r="A577" s="408" t="n">
        <v>46241</v>
      </c>
      <c r="B577" s="242" t="n">
        <v>22100</v>
      </c>
      <c r="C577" s="242" t="n">
        <v>114419</v>
      </c>
      <c r="D577" s="242" t="n">
        <v>-1000</v>
      </c>
      <c r="E577" s="243" t="n">
        <v>-4.33</v>
      </c>
      <c r="F577" s="242" t="n">
        <v>23250</v>
      </c>
      <c r="G577" s="242" t="n">
        <v>23300</v>
      </c>
      <c r="H577" s="242" t="n">
        <v>21750</v>
      </c>
      <c r="I577" s="242" t="n">
        <v>2551195600</v>
      </c>
      <c r="J577" s="242" t="n">
        <v>340184880100</v>
      </c>
      <c r="K577" s="242" t="n">
        <v>15392981</v>
      </c>
    </row>
    <row r="578">
      <c r="A578" s="408" t="n">
        <v>46244</v>
      </c>
      <c r="B578" s="242" t="n">
        <v>22300</v>
      </c>
      <c r="C578" s="242" t="n">
        <v>104414</v>
      </c>
      <c r="D578" s="242" t="n">
        <v>200</v>
      </c>
      <c r="E578" s="243" t="n">
        <v>0.9</v>
      </c>
      <c r="F578" s="242" t="n">
        <v>21900</v>
      </c>
      <c r="G578" s="242" t="n">
        <v>22500</v>
      </c>
      <c r="H578" s="242" t="n">
        <v>21400</v>
      </c>
      <c r="I578" s="242" t="n">
        <v>2311258500</v>
      </c>
      <c r="J578" s="242" t="n">
        <v>343263476300</v>
      </c>
      <c r="K578" s="242" t="n">
        <v>15392981</v>
      </c>
    </row>
    <row r="579">
      <c r="A579" s="408" t="n">
        <v>46245</v>
      </c>
      <c r="B579" s="242" t="n">
        <v>22400</v>
      </c>
      <c r="C579" s="242" t="n">
        <v>111047</v>
      </c>
      <c r="D579" s="242" t="n">
        <v>100</v>
      </c>
      <c r="E579" s="243" t="n">
        <v>0.45</v>
      </c>
      <c r="F579" s="242" t="n">
        <v>23450</v>
      </c>
      <c r="G579" s="242" t="n">
        <v>23450</v>
      </c>
      <c r="H579" s="242" t="n">
        <v>22000</v>
      </c>
      <c r="I579" s="242" t="n">
        <v>2500001700</v>
      </c>
      <c r="J579" s="242" t="n">
        <v>344802774400</v>
      </c>
      <c r="K579" s="242" t="n">
        <v>15392981</v>
      </c>
    </row>
    <row r="580">
      <c r="A580" s="408" t="n">
        <v>46246</v>
      </c>
      <c r="B580" s="242" t="n">
        <v>22450</v>
      </c>
      <c r="C580" s="242" t="n">
        <v>92339</v>
      </c>
      <c r="D580" s="242" t="n">
        <v>50</v>
      </c>
      <c r="E580" s="243" t="n">
        <v>0.22</v>
      </c>
      <c r="F580" s="242" t="n">
        <v>22250</v>
      </c>
      <c r="G580" s="242" t="n">
        <v>23000</v>
      </c>
      <c r="H580" s="242" t="n">
        <v>21750</v>
      </c>
      <c r="I580" s="242" t="n">
        <v>2074317850</v>
      </c>
      <c r="J580" s="242" t="n">
        <v>345572423450</v>
      </c>
      <c r="K580" s="242" t="n">
        <v>15392981</v>
      </c>
    </row>
    <row r="581">
      <c r="A581" s="408" t="n">
        <v>46247</v>
      </c>
      <c r="B581" s="242" t="n">
        <v>22700</v>
      </c>
      <c r="C581" s="242" t="n">
        <v>96704</v>
      </c>
      <c r="D581" s="242" t="n">
        <v>250</v>
      </c>
      <c r="E581" s="243" t="n">
        <v>1.11</v>
      </c>
      <c r="F581" s="242" t="n">
        <v>22700</v>
      </c>
      <c r="G581" s="242" t="n">
        <v>23100</v>
      </c>
      <c r="H581" s="242" t="n">
        <v>22200</v>
      </c>
      <c r="I581" s="242" t="n">
        <v>2196142825</v>
      </c>
      <c r="J581" s="242" t="n">
        <v>349420668700</v>
      </c>
      <c r="K581" s="242" t="n">
        <v>15392981</v>
      </c>
    </row>
    <row r="582">
      <c r="A582" s="408" t="n">
        <v>46248</v>
      </c>
      <c r="B582" s="242" t="n">
        <v>22950</v>
      </c>
      <c r="C582" s="242" t="n">
        <v>139062</v>
      </c>
      <c r="D582" s="242" t="n">
        <v>250</v>
      </c>
      <c r="E582" s="243" t="n">
        <v>1.1</v>
      </c>
      <c r="F582" s="242" t="n">
        <v>22900</v>
      </c>
      <c r="G582" s="242" t="n">
        <v>23850</v>
      </c>
      <c r="H582" s="242" t="n">
        <v>22200</v>
      </c>
      <c r="I582" s="242" t="n">
        <v>3223558275</v>
      </c>
      <c r="J582" s="242" t="n">
        <v>353268913950</v>
      </c>
      <c r="K582" s="242" t="n">
        <v>15392981</v>
      </c>
    </row>
    <row r="583">
      <c r="A583" s="408" t="n">
        <v>46252</v>
      </c>
      <c r="B583" s="242" t="n">
        <v>22650</v>
      </c>
      <c r="C583" s="242" t="n">
        <v>164179</v>
      </c>
      <c r="D583" s="242" t="n">
        <v>-300</v>
      </c>
      <c r="E583" s="243" t="n">
        <v>-1.31</v>
      </c>
      <c r="F583" s="242" t="n">
        <v>23700</v>
      </c>
      <c r="G583" s="242" t="n">
        <v>24100</v>
      </c>
      <c r="H583" s="242" t="n">
        <v>22400</v>
      </c>
      <c r="I583" s="242" t="n">
        <v>3839820200</v>
      </c>
      <c r="J583" s="242" t="n">
        <v>348651019650</v>
      </c>
      <c r="K583" s="242" t="n">
        <v>15392981</v>
      </c>
    </row>
    <row r="584">
      <c r="A584" s="408" t="n">
        <v>46253</v>
      </c>
      <c r="B584" s="242" t="n">
        <v>21250</v>
      </c>
      <c r="C584" s="242" t="n">
        <v>75509</v>
      </c>
      <c r="D584" s="242" t="n">
        <v>-1400</v>
      </c>
      <c r="E584" s="243" t="n">
        <v>-6.18</v>
      </c>
      <c r="F584" s="242" t="n">
        <v>21950</v>
      </c>
      <c r="G584" s="242" t="n">
        <v>22850</v>
      </c>
      <c r="H584" s="242" t="n">
        <v>21250</v>
      </c>
      <c r="I584" s="242" t="n">
        <v>1662784500</v>
      </c>
      <c r="J584" s="242" t="n">
        <v>327100846250</v>
      </c>
      <c r="K584" s="242" t="n">
        <v>15392981</v>
      </c>
    </row>
    <row r="585">
      <c r="A585" s="408" t="n">
        <v>46254</v>
      </c>
      <c r="B585" s="242" t="n">
        <v>21700</v>
      </c>
      <c r="C585" s="242" t="n">
        <v>32240</v>
      </c>
      <c r="D585" s="242" t="n">
        <v>450</v>
      </c>
      <c r="E585" s="243" t="n">
        <v>2.12</v>
      </c>
      <c r="F585" s="242" t="n">
        <v>21500</v>
      </c>
      <c r="G585" s="242" t="n">
        <v>21850</v>
      </c>
      <c r="H585" s="242" t="n">
        <v>21150</v>
      </c>
      <c r="I585" s="242" t="n">
        <v>695154825</v>
      </c>
      <c r="J585" s="242" t="n">
        <v>334027687700</v>
      </c>
      <c r="K585" s="242" t="n">
        <v>15392981</v>
      </c>
    </row>
    <row r="586">
      <c r="A586" s="408" t="n">
        <v>46255</v>
      </c>
      <c r="B586" s="242" t="n">
        <v>20350</v>
      </c>
      <c r="C586" s="242" t="n">
        <v>47614</v>
      </c>
      <c r="D586" s="242" t="n">
        <v>-1350</v>
      </c>
      <c r="E586" s="243" t="n">
        <v>-6.22</v>
      </c>
      <c r="F586" s="242" t="n">
        <v>21000</v>
      </c>
      <c r="G586" s="242" t="n">
        <v>21100</v>
      </c>
      <c r="H586" s="242" t="n">
        <v>20150</v>
      </c>
      <c r="I586" s="242" t="n">
        <v>971765075</v>
      </c>
      <c r="J586" s="242" t="n">
        <v>313247163350</v>
      </c>
      <c r="K586" s="242" t="n">
        <v>15392981</v>
      </c>
    </row>
    <row r="587">
      <c r="A587" s="408" t="n">
        <v>46258</v>
      </c>
      <c r="B587" s="242" t="n">
        <v>20100</v>
      </c>
      <c r="C587" s="242" t="n">
        <v>27167</v>
      </c>
      <c r="D587" s="242" t="n">
        <v>-250</v>
      </c>
      <c r="E587" s="243" t="n">
        <v>-1.23</v>
      </c>
      <c r="F587" s="242" t="n">
        <v>20650</v>
      </c>
      <c r="G587" s="242" t="n">
        <v>20750</v>
      </c>
      <c r="H587" s="242" t="n">
        <v>20100</v>
      </c>
      <c r="I587" s="242" t="n">
        <v>552440725</v>
      </c>
      <c r="J587" s="242" t="n">
        <v>309398918100</v>
      </c>
      <c r="K587" s="242" t="n">
        <v>15392981</v>
      </c>
    </row>
    <row r="588">
      <c r="A588" s="408" t="n">
        <v>46259</v>
      </c>
      <c r="B588" s="242" t="n">
        <v>20850</v>
      </c>
      <c r="C588" s="242" t="n">
        <v>42302</v>
      </c>
      <c r="D588" s="242" t="n">
        <v>750</v>
      </c>
      <c r="E588" s="243" t="n">
        <v>3.73</v>
      </c>
      <c r="F588" s="242" t="n">
        <v>21200</v>
      </c>
      <c r="G588" s="242" t="n">
        <v>21200</v>
      </c>
      <c r="H588" s="242" t="n">
        <v>20000</v>
      </c>
      <c r="I588" s="242" t="n">
        <v>865729575</v>
      </c>
      <c r="J588" s="242" t="n">
        <v>320943653850</v>
      </c>
      <c r="K588" s="242" t="n">
        <v>15392981</v>
      </c>
    </row>
  </sheetData>
  <autoFilter ref="A1:K1">
    <sortState ref="A2:K588">
      <sortCondition ref="A1"/>
    </sortState>
  </autoFilter>
  <pageMargins left="0.7" right="0.7" top="0.75" bottom="0.75" header="0.3" footer="0.3"/>
</worksheet>
</file>

<file path=xl/worksheets/sheet15.xml><?xml version="1.0" encoding="utf-8"?>
<worksheet xmlns="http://schemas.openxmlformats.org/spreadsheetml/2006/main">
  <sheetPr>
    <tabColor rgb="FF002060"/>
    <outlinePr summaryBelow="1" summaryRight="1"/>
    <pageSetUpPr/>
  </sheetPr>
  <dimension ref="A2:G39"/>
  <sheetViews>
    <sheetView showGridLines="0" workbookViewId="0">
      <pane xSplit="2" ySplit="4" topLeftCell="C23" activePane="bottomRight" state="frozen"/>
      <selection pane="topRight" activeCell="A1" sqref="A1"/>
      <selection pane="bottomLeft" activeCell="A1" sqref="A1"/>
      <selection pane="bottomRight" activeCell="C49" sqref="C49"/>
    </sheetView>
  </sheetViews>
  <sheetFormatPr baseColWidth="8" defaultRowHeight="16.5"/>
  <cols>
    <col width="3" customWidth="1" style="276" min="1" max="1"/>
    <col width="26" customWidth="1" style="276" min="2" max="2"/>
    <col width="15" customWidth="1" style="276" min="3" max="7"/>
  </cols>
  <sheetData>
    <row r="2" ht="20.25" customHeight="1" s="276">
      <c r="A2" s="9" t="inlineStr">
        <is>
          <t>관리종목 지정요건 및 자기자본 시뮬레이션</t>
        </is>
      </c>
    </row>
    <row r="3">
      <c r="A3" s="2" t="inlineStr">
        <is>
          <t>단위: 백만원 / 출처: 제10기 반기보고서 「관리종목 지정유예 현황」</t>
        </is>
      </c>
    </row>
    <row r="5">
      <c r="B5" s="10" t="inlineStr">
        <is>
          <t>요건별 유예 현황 (동사 공시 기준)</t>
        </is>
      </c>
    </row>
    <row r="6">
      <c r="B6" s="278" t="inlineStr">
        <is>
          <t>요건</t>
        </is>
      </c>
      <c r="C6" s="278" t="inlineStr">
        <is>
          <t>기준</t>
        </is>
      </c>
      <c r="D6" s="278" t="inlineStr">
        <is>
          <t>유예 종료</t>
        </is>
      </c>
      <c r="E6" s="278" t="inlineStr">
        <is>
          <t>적용 개시</t>
        </is>
      </c>
      <c r="F6" s="278" t="inlineStr">
        <is>
          <t>현황</t>
        </is>
      </c>
      <c r="G6" s="278" t="n"/>
    </row>
    <row r="7" ht="24" customHeight="1" s="276">
      <c r="B7" s="52" t="inlineStr">
        <is>
          <t>매출액</t>
        </is>
      </c>
      <c r="C7" s="46" t="inlineStr">
        <is>
          <t>최근 사업연도 매출액 30억원 미만</t>
        </is>
      </c>
      <c r="D7" s="46" t="inlineStr">
        <is>
          <t>2028.12.31</t>
        </is>
      </c>
      <c r="E7" s="46" t="inlineStr">
        <is>
          <t>2029 사업연도</t>
        </is>
      </c>
      <c r="F7" s="46" t="inlineStr">
        <is>
          <t>2025년 4,641백만원 → 미해당</t>
        </is>
      </c>
      <c r="G7" s="46" t="n"/>
    </row>
    <row r="8" ht="48" customHeight="1" s="276">
      <c r="B8" s="52" t="inlineStr">
        <is>
          <t>계속사업손실</t>
        </is>
      </c>
      <c r="C8" s="46" t="inlineStr">
        <is>
          <t>자기자본 50% 초과 세전손실이 최근 3년 중 2회 이상 및 최근 사업연도 손실</t>
        </is>
      </c>
      <c r="D8" s="46" t="inlineStr">
        <is>
          <t>2026.12.31</t>
        </is>
      </c>
      <c r="E8" s="46" t="inlineStr">
        <is>
          <t>2027 사업연도</t>
        </is>
      </c>
      <c r="F8" s="46" t="inlineStr">
        <is>
          <t>2025년 -29.8% → 미해당</t>
        </is>
      </c>
      <c r="G8" s="46" t="n"/>
    </row>
    <row r="9" ht="36" customHeight="1" s="276">
      <c r="B9" s="52" t="inlineStr">
        <is>
          <t>자본잠식</t>
        </is>
      </c>
      <c r="C9" s="46" t="inlineStr">
        <is>
          <t>자본잠식률 50% 이상 또는 자기자본 10억원 미만</t>
        </is>
      </c>
      <c r="D9" s="46" t="inlineStr">
        <is>
          <t>-</t>
        </is>
      </c>
      <c r="E9" s="46" t="inlineStr">
        <is>
          <t>-</t>
        </is>
      </c>
      <c r="F9" s="46" t="inlineStr">
        <is>
          <t>자본금 7,696 / 자기자본 30,982 → 해당없음</t>
        </is>
      </c>
      <c r="G9" s="46" t="n"/>
    </row>
    <row r="12">
      <c r="B12" s="10" t="inlineStr">
        <is>
          <t>세전손실 대비 자기자본 비율 (실적)</t>
        </is>
      </c>
    </row>
    <row r="13" ht="24" customHeight="1" s="276">
      <c r="B13" s="278" t="inlineStr">
        <is>
          <t>사업연도</t>
        </is>
      </c>
      <c r="C13" s="278" t="inlineStr">
        <is>
          <t>세전계속사업손익 (A)</t>
        </is>
      </c>
      <c r="D13" s="278" t="inlineStr">
        <is>
          <t>자기자본 (B)</t>
        </is>
      </c>
      <c r="E13" s="278" t="inlineStr">
        <is>
          <t>비율 (A/B)</t>
        </is>
      </c>
      <c r="F13" s="278" t="inlineStr">
        <is>
          <t>요건 해당여부</t>
        </is>
      </c>
      <c r="G13" s="278" t="n"/>
    </row>
    <row r="14">
      <c r="B14" s="59" t="inlineStr">
        <is>
          <t>2023년</t>
        </is>
      </c>
      <c r="C14" s="332" t="n">
        <v>-9239</v>
      </c>
      <c r="D14" s="332" t="n">
        <v>8678</v>
      </c>
      <c r="E14" s="345">
        <f>C14/D14</f>
        <v/>
      </c>
      <c r="F14" s="34" t="inlineStr">
        <is>
          <t>미해당 (유예)</t>
        </is>
      </c>
    </row>
    <row r="15">
      <c r="B15" s="59" t="inlineStr">
        <is>
          <t>2024년</t>
        </is>
      </c>
      <c r="C15" s="332" t="n">
        <v>-10006</v>
      </c>
      <c r="D15" s="332" t="n">
        <v>40329</v>
      </c>
      <c r="E15" s="345">
        <f>C15/D15</f>
        <v/>
      </c>
      <c r="F15" s="34" t="inlineStr">
        <is>
          <t>미해당</t>
        </is>
      </c>
    </row>
    <row r="16">
      <c r="B16" s="59" t="inlineStr">
        <is>
          <t>2025년</t>
        </is>
      </c>
      <c r="C16" s="332" t="n">
        <v>-9715</v>
      </c>
      <c r="D16" s="332" t="n">
        <v>32626</v>
      </c>
      <c r="E16" s="345">
        <f>C16/D16</f>
        <v/>
      </c>
      <c r="F16" s="34" t="inlineStr">
        <is>
          <t>미해당</t>
        </is>
      </c>
    </row>
    <row r="19">
      <c r="B19" s="10" t="inlineStr">
        <is>
          <t>자기자본 및 판정비율 시뮬레이션</t>
        </is>
      </c>
    </row>
    <row r="20">
      <c r="B20" s="23" t="inlineStr">
        <is>
          <t>가정: 연간 세전손실 7,300백만원 (2026년 반기 실적 연간 환산) / 주식보상·옵션행사 유입 연 1,200백만원 / 2025년말 자기자본 32,626백만원 출발</t>
        </is>
      </c>
    </row>
    <row r="22">
      <c r="C22" s="328" t="inlineStr">
        <is>
          <t>A안 : CPS 미발행</t>
        </is>
      </c>
      <c r="E22" s="327" t="inlineStr">
        <is>
          <t>B안 : CPS 20,000백만원 발행</t>
        </is>
      </c>
    </row>
    <row r="23">
      <c r="B23" s="278" t="inlineStr">
        <is>
          <t>사업연도</t>
        </is>
      </c>
      <c r="C23" s="278" t="inlineStr">
        <is>
          <t>자기자본</t>
        </is>
      </c>
      <c r="D23" s="278" t="inlineStr">
        <is>
          <t>손실/자본</t>
        </is>
      </c>
      <c r="E23" s="278" t="inlineStr">
        <is>
          <t>자기자본</t>
        </is>
      </c>
      <c r="F23" s="278" t="inlineStr">
        <is>
          <t>손실/자본</t>
        </is>
      </c>
      <c r="G23" s="278" t="n"/>
    </row>
    <row r="24">
      <c r="B24" s="59" t="inlineStr">
        <is>
          <t>2026년(E)</t>
        </is>
      </c>
      <c r="C24" s="409">
        <f>32626-$C$32+$C$33</f>
        <v/>
      </c>
      <c r="D24" s="410">
        <f>IF(C24&lt;=0,"자본잠식",$C$32/C24)</f>
        <v/>
      </c>
      <c r="E24" s="409">
        <f>32626+20000-$C$32+$C$33</f>
        <v/>
      </c>
      <c r="F24" s="410">
        <f>IF(E24&lt;=0,"자본잠식",$C$32/E24)</f>
        <v/>
      </c>
    </row>
    <row r="25">
      <c r="B25" s="59" t="inlineStr">
        <is>
          <t>2027년(E)</t>
        </is>
      </c>
      <c r="C25" s="409">
        <f>C24-$C$32+$C$33</f>
        <v/>
      </c>
      <c r="D25" s="410">
        <f>IF(C25&lt;=0,"자본잠식",$C$32/C25)</f>
        <v/>
      </c>
      <c r="E25" s="409">
        <f>E24-$C$32+$C$33</f>
        <v/>
      </c>
      <c r="F25" s="410">
        <f>IF(E25&lt;=0,"자본잠식",$C$32/E25)</f>
        <v/>
      </c>
    </row>
    <row r="26">
      <c r="B26" s="59" t="inlineStr">
        <is>
          <t>2028년(E)</t>
        </is>
      </c>
      <c r="C26" s="409">
        <f>C25-$C$32+$C$33</f>
        <v/>
      </c>
      <c r="D26" s="410">
        <f>IF(C26&lt;=0,"자본잠식",$C$32/C26)</f>
        <v/>
      </c>
      <c r="E26" s="409">
        <f>E25-$C$32+$C$33</f>
        <v/>
      </c>
      <c r="F26" s="410">
        <f>IF(E26&lt;=0,"자본잠식",$C$32/E26)</f>
        <v/>
      </c>
    </row>
    <row r="27">
      <c r="B27" s="59" t="inlineStr">
        <is>
          <t>2029년(E)</t>
        </is>
      </c>
      <c r="C27" s="409">
        <f>C26-$C$32+$C$33</f>
        <v/>
      </c>
      <c r="D27" s="410">
        <f>IF(C27&lt;=0,"자본잠식",$C$32/C27)</f>
        <v/>
      </c>
      <c r="E27" s="409">
        <f>E26-$C$32+$C$33</f>
        <v/>
      </c>
      <c r="F27" s="410">
        <f>IF(E27&lt;=0,"자본잠식",$C$32/E27)</f>
        <v/>
      </c>
    </row>
    <row r="28">
      <c r="B28" s="59" t="inlineStr">
        <is>
          <t>2030년(E)</t>
        </is>
      </c>
      <c r="C28" s="409">
        <f>C27-$C$32+$C$33</f>
        <v/>
      </c>
      <c r="D28" s="410">
        <f>IF(C28&lt;=0,"자본잠식",$C$32/C28)</f>
        <v/>
      </c>
      <c r="E28" s="409">
        <f>E27-$C$32+$C$33</f>
        <v/>
      </c>
      <c r="F28" s="410">
        <f>IF(E28&lt;=0,"자본잠식",$C$32/E28)</f>
        <v/>
      </c>
    </row>
    <row r="29">
      <c r="B29" s="59" t="inlineStr">
        <is>
          <t>2031년(E)</t>
        </is>
      </c>
      <c r="C29" s="409">
        <f>C28-$C$32+$C$33</f>
        <v/>
      </c>
      <c r="D29" s="410">
        <f>IF(C29&lt;=0,"자본잠식",$C$32/C29)</f>
        <v/>
      </c>
      <c r="E29" s="409">
        <f>E28-$C$32+$C$33</f>
        <v/>
      </c>
      <c r="F29" s="410">
        <f>IF(E29&lt;=0,"자본잠식",$C$32/E29)</f>
        <v/>
      </c>
    </row>
    <row r="32">
      <c r="B32" s="62" t="inlineStr">
        <is>
          <t>연간 세전손실 (가정)</t>
        </is>
      </c>
      <c r="C32" s="411" t="n">
        <v>7300</v>
      </c>
    </row>
    <row r="33">
      <c r="B33" s="62" t="inlineStr">
        <is>
          <t>연간 자본 유입 (가정)</t>
        </is>
      </c>
      <c r="C33" s="411" t="n">
        <v>1200</v>
      </c>
    </row>
    <row r="35">
      <c r="A35" s="23" t="inlineStr">
        <is>
          <t>※ 노란색 셀(C열 가정값)을 수정하면 시뮬레이션 전체가 재계산됨</t>
        </is>
      </c>
    </row>
    <row r="36">
      <c r="A36" s="55" t="inlineStr">
        <is>
          <t>A안: 2028 사업연도에 판정비율이 50%를 초과하고 2029 사업연도 결산에서 최근 3년 중 2회가 성립하여 요건에 해당</t>
        </is>
      </c>
    </row>
    <row r="37">
      <c r="A37" s="23" t="inlineStr">
        <is>
          <t>B안: 2031년까지 50%를 하회하여 투자자의 전환권 행사 가능 기간 전체를 커버</t>
        </is>
      </c>
    </row>
    <row r="38">
      <c r="A38" s="55" t="inlineStr">
        <is>
          <t>⚠️ 가정에 기초한 추정으로 실제 결과와 차이가 발생할 수 있으며, CPS의 자본 분류는 감사인 판단을 전제로 함</t>
        </is>
      </c>
    </row>
    <row r="39">
      <c r="A39" s="23" t="inlineStr">
        <is>
          <t>주) 실적표(위)의 비율은 공시 원문 표기를 따라 손실을 음수로 표시하였고, 시뮬레이션(아래)은 절대값 기준 양수로 표시함</t>
        </is>
      </c>
    </row>
  </sheetData>
  <mergeCells count="2">
    <mergeCell ref="E22:F22"/>
    <mergeCell ref="C22:D22"/>
  </mergeCells>
  <pageMargins left="0.75" right="0.75" top="1" bottom="1" header="0.5" footer="0.5"/>
  <pageSetup orientation="landscape"/>
</worksheet>
</file>

<file path=xl/worksheets/sheet16.xml><?xml version="1.0" encoding="utf-8"?>
<worksheet xmlns="http://schemas.openxmlformats.org/spreadsheetml/2006/main">
  <sheetPr>
    <tabColor rgb="FF002060"/>
    <outlinePr summaryBelow="1" summaryRight="1"/>
    <pageSetUpPr/>
  </sheetPr>
  <dimension ref="A2:F60"/>
  <sheetViews>
    <sheetView showGridLines="0" workbookViewId="0">
      <pane xSplit="2" ySplit="4" topLeftCell="C19" activePane="bottomRight" state="frozen"/>
      <selection pane="topRight" activeCell="A1" sqref="A1"/>
      <selection pane="bottomLeft" activeCell="A1" sqref="A1"/>
      <selection pane="bottomRight" activeCell="B25" sqref="B25"/>
    </sheetView>
  </sheetViews>
  <sheetFormatPr baseColWidth="8" defaultRowHeight="16.5"/>
  <cols>
    <col width="3" customWidth="1" style="276" min="1" max="1"/>
    <col width="26" customWidth="1" style="276" min="2" max="2"/>
    <col width="16" customWidth="1" style="276" min="3" max="4"/>
    <col width="40" customWidth="1" style="276" min="5" max="5"/>
    <col width="46" customWidth="1" style="276" min="6" max="6"/>
  </cols>
  <sheetData>
    <row r="2" ht="20.25" customHeight="1" s="276">
      <c r="A2" s="9" t="inlineStr">
        <is>
          <t>자료 출처 목록</t>
        </is>
      </c>
    </row>
    <row r="3">
      <c r="A3" s="371" t="inlineStr">
        <is>
          <t>2026.08.26 기준</t>
        </is>
      </c>
    </row>
    <row r="5">
      <c r="B5" s="10" t="inlineStr">
        <is>
          <t>1차 자료 (공시)</t>
        </is>
      </c>
    </row>
    <row r="6">
      <c r="B6" s="278" t="inlineStr">
        <is>
          <t>자료명</t>
        </is>
      </c>
      <c r="C6" s="278" t="inlineStr">
        <is>
          <t>제출일</t>
        </is>
      </c>
      <c r="D6" s="278" t="inlineStr">
        <is>
          <t>성격</t>
        </is>
      </c>
      <c r="E6" s="278" t="inlineStr">
        <is>
          <t>활용 시트</t>
        </is>
      </c>
      <c r="F6" s="278" t="inlineStr">
        <is>
          <t>비고</t>
        </is>
      </c>
    </row>
    <row r="7">
      <c r="B7" s="52" t="inlineStr">
        <is>
          <t>제10기 반기보고서</t>
        </is>
      </c>
      <c r="C7" s="46" t="inlineStr">
        <is>
          <t>2026.08.14</t>
        </is>
      </c>
      <c r="D7" s="46" t="inlineStr">
        <is>
          <t>공시 원문</t>
        </is>
      </c>
      <c r="E7" s="46" t="inlineStr">
        <is>
          <t>01~04, 06~09, 11, 12</t>
        </is>
      </c>
      <c r="F7" s="46" t="inlineStr">
        <is>
          <t>최신·확정. 검토받은 반기재무제표</t>
        </is>
      </c>
    </row>
    <row r="8">
      <c r="B8" s="52" t="inlineStr">
        <is>
          <t>제9기 사업보고서</t>
        </is>
      </c>
      <c r="C8" s="46" t="inlineStr">
        <is>
          <t>2026.03.23</t>
        </is>
      </c>
      <c r="D8" s="46" t="inlineStr">
        <is>
          <t>공시 원문</t>
        </is>
      </c>
      <c r="E8" s="46" t="inlineStr">
        <is>
          <t>01, 03, 08</t>
        </is>
      </c>
      <c r="F8" s="46" t="inlineStr">
        <is>
          <t>감사의견 적정</t>
        </is>
      </c>
    </row>
    <row r="11">
      <c r="B11" s="10" t="inlineStr">
        <is>
          <t>2차 자료 (제3자 분석)</t>
        </is>
      </c>
    </row>
    <row r="12">
      <c r="B12" s="278" t="inlineStr">
        <is>
          <t>자료명</t>
        </is>
      </c>
      <c r="C12" s="278" t="inlineStr">
        <is>
          <t>작성일</t>
        </is>
      </c>
      <c r="D12" s="278" t="inlineStr">
        <is>
          <t>작성기관</t>
        </is>
      </c>
      <c r="E12" s="278" t="inlineStr">
        <is>
          <t>활용 시트</t>
        </is>
      </c>
      <c r="F12" s="278" t="inlineStr">
        <is>
          <t>비고</t>
        </is>
      </c>
    </row>
    <row r="13" ht="24" customHeight="1" s="276">
      <c r="B13" s="52" t="inlineStr">
        <is>
          <t>기업분석보고서</t>
        </is>
      </c>
      <c r="C13" s="46" t="inlineStr">
        <is>
          <t>2024.09.26</t>
        </is>
      </c>
      <c r="D13" s="46" t="inlineStr">
        <is>
          <t>한국IR협의회 기업리서치센터</t>
        </is>
      </c>
      <c r="E13" s="46" t="inlineStr">
        <is>
          <t>06, 09, 10, 11</t>
        </is>
      </c>
      <c r="F13" s="46" t="inlineStr">
        <is>
          <t>시장점유율·판매처·회수기간 도표 보유</t>
        </is>
      </c>
    </row>
    <row r="14">
      <c r="B14" s="52" t="inlineStr">
        <is>
          <t>기업분석 리포트</t>
        </is>
      </c>
      <c r="C14" s="46" t="inlineStr">
        <is>
          <t>2025.12.16</t>
        </is>
      </c>
      <c r="D14" s="46" t="inlineStr">
        <is>
          <t>리딩투자증권</t>
        </is>
      </c>
      <c r="E14" s="46" t="inlineStr">
        <is>
          <t>09, 10, 11</t>
        </is>
      </c>
      <c r="F14" s="46" t="inlineStr">
        <is>
          <t>가장 최신 증권사 리포트. Not Rated</t>
        </is>
      </c>
    </row>
    <row r="15">
      <c r="B15" s="52" t="inlineStr">
        <is>
          <t>기업분석 리포트</t>
        </is>
      </c>
      <c r="C15" s="46" t="inlineStr">
        <is>
          <t>2025.05.29</t>
        </is>
      </c>
      <c r="D15" s="46" t="inlineStr">
        <is>
          <t>SK증권</t>
        </is>
      </c>
      <c r="E15" s="46" t="inlineStr">
        <is>
          <t>08, 10</t>
        </is>
      </c>
      <c r="F15" s="46" t="inlineStr">
        <is>
          <t>국가과제 리스트·엔젤라 플랫폼. Not Rated</t>
        </is>
      </c>
    </row>
    <row r="16">
      <c r="B16" s="52" t="inlineStr">
        <is>
          <t>IPO 분석 리포트</t>
        </is>
      </c>
      <c r="C16" s="46" t="inlineStr">
        <is>
          <t>2024.03.06</t>
        </is>
      </c>
      <c r="D16" s="46" t="inlineStr">
        <is>
          <t>유진투자증권</t>
        </is>
      </c>
      <c r="E16" s="46" t="inlineStr">
        <is>
          <t>02, 10, 11</t>
        </is>
      </c>
      <c r="F16" s="46" t="inlineStr">
        <is>
          <t>침투율·공모가 산정·보호예수. 실적 전망은 outdated</t>
        </is>
      </c>
    </row>
    <row r="19">
      <c r="B19" s="10" t="inlineStr">
        <is>
          <t>웹 리서치 소스</t>
        </is>
      </c>
    </row>
    <row r="20">
      <c r="B20" s="278" t="inlineStr">
        <is>
          <t>항목</t>
        </is>
      </c>
      <c r="C20" s="278" t="inlineStr">
        <is>
          <t>기관/매체</t>
        </is>
      </c>
      <c r="D20" s="278" t="inlineStr">
        <is>
          <t>활용 시트</t>
        </is>
      </c>
      <c r="E20" s="278" t="inlineStr">
        <is>
          <t>URL</t>
        </is>
      </c>
      <c r="F20" s="278" t="n"/>
    </row>
    <row r="21">
      <c r="B21" s="8" t="inlineStr">
        <is>
          <t>국산 재활로봇 수가 미확보 이슈</t>
        </is>
      </c>
      <c r="C21" s="8" t="inlineStr">
        <is>
          <t>의학신문</t>
        </is>
      </c>
      <c r="D21" s="25" t="inlineStr">
        <is>
          <t>10</t>
        </is>
      </c>
      <c r="E21" s="64" t="inlineStr">
        <is>
          <t>http://www.bosa.co.kr/news/articleView.html?idxno=2114946</t>
        </is>
      </c>
    </row>
    <row r="22" ht="24" customHeight="1" s="276">
      <c r="B22" s="8" t="inlineStr">
        <is>
          <t>로봇산업 실태조사 (국내 로봇산업 매출)</t>
        </is>
      </c>
      <c r="C22" s="8" t="inlineStr">
        <is>
          <t>한국로봇산업진흥원</t>
        </is>
      </c>
      <c r="D22" s="25" t="inlineStr">
        <is>
          <t>10</t>
        </is>
      </c>
      <c r="E22" s="64" t="inlineStr">
        <is>
          <t>https://www.kiria.org/portal/policysut/portalPlcyInquiry.do</t>
        </is>
      </c>
    </row>
    <row r="23">
      <c r="B23" s="8" t="inlineStr">
        <is>
          <t>로봇산업 실태조사 결과보고서</t>
        </is>
      </c>
      <c r="C23" s="8" t="inlineStr">
        <is>
          <t>공공데이터포털</t>
        </is>
      </c>
      <c r="D23" s="25" t="inlineStr">
        <is>
          <t>10</t>
        </is>
      </c>
      <c r="E23" s="64" t="inlineStr">
        <is>
          <t>https://www.data.go.kr/data/3041731/fileData.do</t>
        </is>
      </c>
    </row>
    <row r="24" ht="24" customHeight="1" s="276">
      <c r="B24" s="8" t="inlineStr">
        <is>
          <t>고령인구 비율·장래인구추계</t>
        </is>
      </c>
      <c r="C24" s="8" t="inlineStr">
        <is>
          <t>국가데이터처 2025 고령자 통계</t>
        </is>
      </c>
      <c r="D24" s="25" t="inlineStr">
        <is>
          <t>10</t>
        </is>
      </c>
      <c r="E24" s="64" t="inlineStr">
        <is>
          <t>https://www.kostat.go.kr/board.es?mid=a10301010000&amp;bid=10820&amp;list_no=438832</t>
        </is>
      </c>
    </row>
    <row r="25">
      <c r="B25" s="8" t="inlineStr">
        <is>
          <t>고령인구 100대 지표</t>
        </is>
      </c>
      <c r="C25" s="8" t="inlineStr">
        <is>
          <t>KOSIS</t>
        </is>
      </c>
      <c r="D25" s="25" t="inlineStr">
        <is>
          <t>10</t>
        </is>
      </c>
      <c r="E25" s="64" t="inlineStr">
        <is>
          <t>https://kosis.kr/visual/nsportalStats/detailContents.do?listId=A&amp;statJipyoId=3634</t>
        </is>
      </c>
    </row>
    <row r="26" ht="24" customHeight="1" s="276">
      <c r="B26" s="8" t="inlineStr">
        <is>
          <t>뇌졸중 환자수·재활 진료 통계</t>
        </is>
      </c>
      <c r="C26" s="8" t="inlineStr">
        <is>
          <t>건강보험심사평가원 의료빅데이터</t>
        </is>
      </c>
      <c r="D26" s="25" t="inlineStr">
        <is>
          <t>10</t>
        </is>
      </c>
      <c r="E26" s="64" t="inlineStr">
        <is>
          <t>https://opendata.hira.or.kr/op/opc/selectMedInfoSvcList.do</t>
        </is>
      </c>
    </row>
    <row r="27" ht="24" customHeight="1" s="276">
      <c r="B27" s="8" t="inlineStr">
        <is>
          <t>재활로봇 보급사업·수가 체계</t>
        </is>
      </c>
      <c r="C27" s="8" t="inlineStr">
        <is>
          <t>국립재활원 재활연구소</t>
        </is>
      </c>
      <c r="D27" s="25" t="inlineStr">
        <is>
          <t>10</t>
        </is>
      </c>
      <c r="E27" s="64" t="inlineStr">
        <is>
          <t>https://www.nrc.go.kr/research/html/content.do?depth=rp&amp;menu_cd=03_04_00_01</t>
        </is>
      </c>
    </row>
    <row r="28" ht="24" customHeight="1" s="276">
      <c r="B28" s="8" t="inlineStr">
        <is>
          <t>외골격 웨어러블 로봇 시장 규모</t>
        </is>
      </c>
      <c r="C28" s="8" t="inlineStr">
        <is>
          <t>Fortune Business Insights</t>
        </is>
      </c>
      <c r="D28" s="25" t="inlineStr">
        <is>
          <t>10</t>
        </is>
      </c>
      <c r="E28" s="64" t="inlineStr">
        <is>
          <t>https://www.fortunebusinessinsights.com/wearable-robotic-exoskeleton-market-104664</t>
        </is>
      </c>
    </row>
    <row r="29">
      <c r="B29" s="8" t="inlineStr">
        <is>
          <t>재활로봇 시장 규모 (대안 출처)</t>
        </is>
      </c>
      <c r="C29" s="8" t="inlineStr">
        <is>
          <t>GII Korea</t>
        </is>
      </c>
      <c r="D29" s="25" t="inlineStr">
        <is>
          <t>10</t>
        </is>
      </c>
      <c r="E29" s="64" t="inlineStr">
        <is>
          <t>https://www.giikorea.co.kr/report/gmi1858972-rehabilitation-robots-market-opportunity-growth.html</t>
        </is>
      </c>
    </row>
    <row r="30">
      <c r="B30" s="8" t="inlineStr">
        <is>
          <t>재활로봇 시장 규모 (대안 출처)</t>
        </is>
      </c>
      <c r="C30" s="8" t="inlineStr">
        <is>
          <t>Mordor Intelligence</t>
        </is>
      </c>
      <c r="D30" s="25" t="inlineStr">
        <is>
          <t>10</t>
        </is>
      </c>
      <c r="E30" s="64" t="inlineStr">
        <is>
          <t>https://www.mordorintelligence.kr/industry-reports/rehabilitation-robots-market</t>
        </is>
      </c>
    </row>
    <row r="31" ht="24" customHeight="1" s="276">
      <c r="B31" s="8" t="inlineStr">
        <is>
          <t>주가·거래 데이터</t>
        </is>
      </c>
      <c r="C31" s="8" t="inlineStr">
        <is>
          <t>한국거래소 정보데이터시스템</t>
        </is>
      </c>
      <c r="D31" s="25" t="inlineStr">
        <is>
          <t>11</t>
        </is>
      </c>
      <c r="E31" s="64" t="inlineStr">
        <is>
          <t>http://data.krx.co.kr</t>
        </is>
      </c>
    </row>
    <row r="32">
      <c r="B32" s="446" t="inlineStr">
        <is>
          <t>로봇 보행훈련 급여 확대 (고시 제2026-166호)</t>
        </is>
      </c>
      <c r="C32" s="377" t="inlineStr">
        <is>
          <t>연합뉴스</t>
        </is>
      </c>
      <c r="D32" s="377" t="inlineStr">
        <is>
          <t>10</t>
        </is>
      </c>
      <c r="E32" s="377" t="inlineStr">
        <is>
          <t>https://www.yna.co.kr/view/AKR20260729120300530</t>
        </is>
      </c>
    </row>
    <row r="33">
      <c r="B33" s="446" t="inlineStr">
        <is>
          <t>급여 확대 상세 (18세 이하 뇌성마비, GMFCS 2~4단계)</t>
        </is>
      </c>
      <c r="C33" s="377" t="inlineStr">
        <is>
          <t>의약일보</t>
        </is>
      </c>
      <c r="D33" s="377" t="inlineStr">
        <is>
          <t>10</t>
        </is>
      </c>
      <c r="E33" s="377" t="inlineStr">
        <is>
          <t>https://www.medicaldaily.co.kr/post/21588</t>
        </is>
      </c>
    </row>
    <row r="34">
      <c r="B34" s="446" t="inlineStr">
        <is>
          <t>엔젤렉스 M20 급여 확대 보도</t>
        </is>
      </c>
      <c r="C34" s="377" t="inlineStr">
        <is>
          <t>ZDNet Korea</t>
        </is>
      </c>
      <c r="D34" s="377" t="inlineStr">
        <is>
          <t>10</t>
        </is>
      </c>
      <c r="E34" s="377" t="inlineStr">
        <is>
          <t>https://zdnet.co.kr/view/?no=20260803083607</t>
        </is>
      </c>
    </row>
    <row r="35">
      <c r="B35" s="446" t="inlineStr">
        <is>
          <t>종전 급여기준 (뇌졸중 I60~I64, FAC 2 이하, 발병 후 6개월)</t>
        </is>
      </c>
      <c r="C35" s="377" t="inlineStr">
        <is>
          <t>건강보험심사평가원 심사기준조회</t>
        </is>
      </c>
      <c r="D35" s="377" t="inlineStr">
        <is>
          <t>10</t>
        </is>
      </c>
      <c r="E35" s="377" t="inlineStr">
        <is>
          <t>https://m.hira.or.kr/mobile/rf/iac/eva/data.do?openDT=20220201&amp;seqNO=4&amp;matrSeqNo=2</t>
        </is>
      </c>
    </row>
    <row r="36">
      <c r="B36" s="446" t="inlineStr">
        <is>
          <t>코스모로보틱스 밤비니 틴즈 프로 급여 확대</t>
        </is>
      </c>
      <c r="C36" s="377" t="inlineStr">
        <is>
          <t>로봇신문</t>
        </is>
      </c>
      <c r="D36" s="377" t="inlineStr">
        <is>
          <t>10</t>
        </is>
      </c>
      <c r="E36" s="377" t="inlineStr">
        <is>
          <t>https://www.irobotnews.com/news/articleView.html?idxno=47963</t>
        </is>
      </c>
    </row>
    <row r="37">
      <c r="B37" s="446" t="inlineStr">
        <is>
          <t>코스모로보틱스 코스닥 상장 (2026.05.11, 시총 1.3조)</t>
        </is>
      </c>
      <c r="C37" s="377" t="inlineStr">
        <is>
          <t>뉴스웰 / 머니투데이</t>
        </is>
      </c>
      <c r="D37" s="377" t="inlineStr">
        <is>
          <t>10</t>
        </is>
      </c>
      <c r="E37" s="377" t="inlineStr">
        <is>
          <t>https://www.newswell.co.kr/news/articleView.html?idxno=18545</t>
        </is>
      </c>
    </row>
    <row r="38">
      <c r="B38" s="446" t="inlineStr">
        <is>
          <t>엔젤슈트 H10 베트남 의료기기 등록 (2026.08.05)</t>
        </is>
      </c>
      <c r="C38" s="377" t="inlineStr">
        <is>
          <t>ZDNet Korea / 로봇신문</t>
        </is>
      </c>
      <c r="D38" s="377" t="inlineStr">
        <is>
          <t>09</t>
        </is>
      </c>
      <c r="E38" s="377" t="inlineStr">
        <is>
          <t>https://zdnet.co.kr/view/?no=20260805083950</t>
        </is>
      </c>
    </row>
    <row r="40">
      <c r="A40" s="55" t="inlineStr">
        <is>
          <t>주1) 웹 소스는 검색 결과 요약을 기반으로 하며, 본문 인용 시 원문 확인이 필요함</t>
        </is>
      </c>
    </row>
    <row r="41">
      <c r="A41" s="23" t="inlineStr">
        <is>
          <t>주2) DART·증권사·통계 사이트는 현재 작업 환경에서 직접 접속이 제한되어 1차 자료는 파일 업로드로 확보</t>
        </is>
      </c>
    </row>
    <row r="44">
      <c r="B44" s="65" t="inlineStr">
        <is>
          <t>미확보 항목 (발행사 확보 필요)</t>
        </is>
      </c>
    </row>
    <row r="45">
      <c r="B45" s="278" t="inlineStr">
        <is>
          <t>항목</t>
        </is>
      </c>
      <c r="C45" s="278" t="inlineStr">
        <is>
          <t>영향 범위</t>
        </is>
      </c>
      <c r="D45" s="278" t="inlineStr">
        <is>
          <t>우선순위</t>
        </is>
      </c>
      <c r="E45" s="278" t="n"/>
      <c r="F45" s="278" t="n"/>
    </row>
    <row r="46">
      <c r="B46" s="52" t="inlineStr">
        <is>
          <t>딜 조건 (규모·만기·금리·옵션)</t>
        </is>
      </c>
      <c r="C46" s="46" t="inlineStr">
        <is>
          <t>Term Sheet 전체</t>
        </is>
      </c>
      <c r="D46" s="46" t="inlineStr">
        <is>
          <t>높음</t>
        </is>
      </c>
      <c r="E46" s="46" t="n"/>
      <c r="F46" s="46" t="n"/>
    </row>
    <row r="47">
      <c r="B47" s="52" t="inlineStr">
        <is>
          <t>CPS 자본분류 감사인 의견</t>
        </is>
      </c>
      <c r="C47" s="46" t="inlineStr">
        <is>
          <t>12_시뮬레이션 전제</t>
        </is>
      </c>
      <c r="D47" s="46" t="inlineStr">
        <is>
          <t>높음</t>
        </is>
      </c>
      <c r="E47" s="46" t="n"/>
      <c r="F47" s="46" t="n"/>
    </row>
    <row r="48">
      <c r="B48" s="52" t="inlineStr">
        <is>
          <t>아세안 수주 파이프라인</t>
        </is>
      </c>
      <c r="C48" s="46" t="inlineStr">
        <is>
          <t>해외 매출 논거</t>
        </is>
      </c>
      <c r="D48" s="46" t="inlineStr">
        <is>
          <t>높음</t>
        </is>
      </c>
      <c r="E48" s="46" t="n"/>
      <c r="F48" s="46" t="n"/>
    </row>
    <row r="49">
      <c r="B49" s="52" t="inlineStr">
        <is>
          <t>BEP 매출 규모</t>
        </is>
      </c>
      <c r="C49" s="46" t="inlineStr">
        <is>
          <t>영업레버리지 논거</t>
        </is>
      </c>
      <c r="D49" s="46" t="inlineStr">
        <is>
          <t>높음</t>
        </is>
      </c>
      <c r="E49" s="46" t="n"/>
      <c r="F49" s="46" t="n"/>
    </row>
    <row r="50">
      <c r="B50" s="52" t="inlineStr">
        <is>
          <t>제품별 마진</t>
        </is>
      </c>
      <c r="C50" s="46" t="inlineStr">
        <is>
          <t>06_제품별매출</t>
        </is>
      </c>
      <c r="D50" s="46" t="inlineStr">
        <is>
          <t>중간</t>
        </is>
      </c>
      <c r="E50" s="46" t="n"/>
      <c r="F50" s="46" t="n"/>
    </row>
    <row r="51">
      <c r="B51" s="52" t="inlineStr">
        <is>
          <t>경쟁사 실명 및 최신 점유율</t>
        </is>
      </c>
      <c r="C51" s="46" t="inlineStr">
        <is>
          <t>10_시장·산업</t>
        </is>
      </c>
      <c r="D51" s="46" t="inlineStr">
        <is>
          <t>중간</t>
        </is>
      </c>
      <c r="E51" s="46" t="n"/>
      <c r="F51" s="46" t="n"/>
    </row>
    <row r="52">
      <c r="B52" s="52" t="inlineStr">
        <is>
          <t>침투율 최신화 (현재 2023년 기준)</t>
        </is>
      </c>
      <c r="C52" s="46" t="inlineStr">
        <is>
          <t>10_시장·산업</t>
        </is>
      </c>
      <c r="D52" s="46" t="inlineStr">
        <is>
          <t>중간</t>
        </is>
      </c>
      <c r="E52" s="46" t="n"/>
      <c r="F52" s="46" t="n"/>
    </row>
    <row r="54">
      <c r="B54" s="447" t="inlineStr">
        <is>
          <t>추가 확인 필요 항목 (2026.08 리서치 결과)</t>
        </is>
      </c>
    </row>
    <row r="55">
      <c r="B55" s="375" t="inlineStr">
        <is>
          <t>항목</t>
        </is>
      </c>
      <c r="C55" s="375" t="inlineStr">
        <is>
          <t>영향 범위</t>
        </is>
      </c>
      <c r="D55" s="375" t="inlineStr">
        <is>
          <t>우선순위</t>
        </is>
      </c>
    </row>
    <row r="56">
      <c r="B56" s="376" t="inlineStr">
        <is>
          <t>신의료기술평가 '기존기술' 판정 근거 (NECA 공고)</t>
        </is>
      </c>
      <c r="C56" s="377" t="inlineStr">
        <is>
          <t>10_수가체계 — 경쟁 차별화 논거</t>
        </is>
      </c>
      <c r="D56" s="377" t="inlineStr">
        <is>
          <t>높음</t>
        </is>
      </c>
    </row>
    <row r="57">
      <c r="B57" s="376" t="inlineStr">
        <is>
          <t>선별급여 재평가 일정 (2027년 도래 여부)</t>
        </is>
      </c>
      <c r="C57" s="377" t="inlineStr">
        <is>
          <t>10_수가체계 — 리스크</t>
        </is>
      </c>
      <c r="D57" s="377" t="inlineStr">
        <is>
          <t>중간</t>
        </is>
      </c>
    </row>
    <row r="58">
      <c r="B58" s="376" t="inlineStr">
        <is>
          <t>코스모로보틱스 재무·밸류에이션 (2026.05 상장)</t>
        </is>
      </c>
      <c r="C58" s="377" t="inlineStr">
        <is>
          <t>11_Peer 비교</t>
        </is>
      </c>
      <c r="D58" s="377" t="inlineStr">
        <is>
          <t>높음</t>
        </is>
      </c>
    </row>
    <row r="59">
      <c r="B59" s="376" t="inlineStr">
        <is>
          <t>금융수익 2,578백만원의 성격 (이자 vs 평가이익)</t>
        </is>
      </c>
      <c r="C59" s="377" t="inlineStr">
        <is>
          <t>03_손익 — 현금소진 논거</t>
        </is>
      </c>
      <c r="D59" s="377" t="inlineStr">
        <is>
          <t>높음</t>
        </is>
      </c>
    </row>
    <row r="60">
      <c r="B60" s="376" t="inlineStr">
        <is>
          <t>소아 뇌성마비 8만명의 정의·기준</t>
        </is>
      </c>
      <c r="C60" s="377" t="inlineStr">
        <is>
          <t>10_수요 모수</t>
        </is>
      </c>
      <c r="D60" s="377" t="inlineStr">
        <is>
          <t>중간</t>
        </is>
      </c>
    </row>
  </sheetData>
  <hyperlinks>
    <hyperlink xmlns:r="http://schemas.openxmlformats.org/officeDocument/2006/relationships" ref="E21" r:id="rId1"/>
    <hyperlink xmlns:r="http://schemas.openxmlformats.org/officeDocument/2006/relationships" ref="E22" r:id="rId2"/>
    <hyperlink xmlns:r="http://schemas.openxmlformats.org/officeDocument/2006/relationships" ref="E23" r:id="rId3"/>
    <hyperlink xmlns:r="http://schemas.openxmlformats.org/officeDocument/2006/relationships" ref="E24" r:id="rId4"/>
    <hyperlink xmlns:r="http://schemas.openxmlformats.org/officeDocument/2006/relationships" ref="E25" r:id="rId5"/>
    <hyperlink xmlns:r="http://schemas.openxmlformats.org/officeDocument/2006/relationships" ref="E26" r:id="rId6"/>
    <hyperlink xmlns:r="http://schemas.openxmlformats.org/officeDocument/2006/relationships" ref="E27" r:id="rId7"/>
    <hyperlink xmlns:r="http://schemas.openxmlformats.org/officeDocument/2006/relationships" ref="E28" r:id="rId8"/>
    <hyperlink xmlns:r="http://schemas.openxmlformats.org/officeDocument/2006/relationships" ref="E29" r:id="rId9"/>
    <hyperlink xmlns:r="http://schemas.openxmlformats.org/officeDocument/2006/relationships" ref="E30" r:id="rId10"/>
    <hyperlink xmlns:r="http://schemas.openxmlformats.org/officeDocument/2006/relationships" ref="E31" r:id="rId11"/>
  </hyperlinks>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2026-08-25T05:47:21Z</dcterms:created>
  <dcterms:modified xmlns:dcterms="http://purl.org/dc/terms/" xmlns:xsi="http://www.w3.org/2001/XMLSchema-instance" xsi:type="dcterms:W3CDTF">2026-08-26T07:47:33Z</dcterms:modified>
  <cp:lastModifiedBy>최은진</cp:lastModifiedBy>
</cp:coreProperties>
</file>